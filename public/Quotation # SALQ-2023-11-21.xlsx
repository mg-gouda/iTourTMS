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3a9ca11fb82944/Desktop/"/>
    </mc:Choice>
  </mc:AlternateContent>
  <xr:revisionPtr revIDLastSave="0" documentId="8_{F2F51996-0A0C-440A-B368-148C54ED8192}" xr6:coauthVersionLast="47" xr6:coauthVersionMax="47" xr10:uidLastSave="{00000000-0000-0000-0000-000000000000}"/>
  <bookViews>
    <workbookView xWindow="-108" yWindow="-108" windowWidth="23256" windowHeight="12456" activeTab="3" xr2:uid="{E36A30D9-1A08-44B6-975C-4A3E612839E4}"/>
  </bookViews>
  <sheets>
    <sheet name="Calculation Sheet" sheetId="1" r:id="rId1"/>
    <sheet name="AccommodationLists" sheetId="6" r:id="rId2"/>
    <sheet name="TransportationLists" sheetId="2" r:id="rId3"/>
    <sheet name="SightseeingLists" sheetId="5" r:id="rId4"/>
    <sheet name="GPT cache" sheetId="4" state="veryHidden" r:id="rId5"/>
  </sheets>
  <definedNames>
    <definedName name="Alexandria">SightseeingLists!$J$2:$J$19</definedName>
    <definedName name="ASW">TransportationLists!$T$4:$T$37</definedName>
    <definedName name="Aswan">SightseeingLists!$L$2:$L$19</definedName>
    <definedName name="CAI">TransportationLists!$V$4:$V$47</definedName>
    <definedName name="Cairo">SightseeingLists!$I$2:$I$29</definedName>
    <definedName name="Giza">SightseeingLists!$M$2:$M$17</definedName>
    <definedName name="HRG">TransportationLists!$R$4:$R$37</definedName>
    <definedName name="Luxor">SightseeingLists!$K$2:$K$40</definedName>
    <definedName name="LXR">TransportationLists!$S$4:$S$47</definedName>
    <definedName name="Names_SSH">TransportationLists!$C$4:$C$30</definedName>
    <definedName name="RMF">TransportationLists!$U$4:$U$27</definedName>
    <definedName name="SSH">TransportationLists!$Q$4:$Q$30</definedName>
    <definedName name="TRSF_Price">TransportationLists!$C$4:$N$220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8" i="2" l="1"/>
  <c r="H208" i="2"/>
  <c r="A208" i="2"/>
  <c r="I207" i="2"/>
  <c r="H207" i="2"/>
  <c r="A207" i="2"/>
  <c r="AW57" i="1"/>
  <c r="AE57" i="1"/>
  <c r="AU57" i="1" s="1"/>
  <c r="AW55" i="1"/>
  <c r="AE55" i="1"/>
  <c r="AU55" i="1" s="1"/>
  <c r="AW53" i="1"/>
  <c r="AE53" i="1"/>
  <c r="AU53" i="1" s="1"/>
  <c r="AW51" i="1"/>
  <c r="AE51" i="1"/>
  <c r="AU51" i="1" s="1"/>
  <c r="AY51" i="1" s="1"/>
  <c r="BA51" i="1" s="1"/>
  <c r="AW49" i="1"/>
  <c r="AE49" i="1"/>
  <c r="AU49" i="1" s="1"/>
  <c r="AY49" i="1" s="1"/>
  <c r="BA49" i="1" s="1"/>
  <c r="AW47" i="1"/>
  <c r="AE47" i="1"/>
  <c r="AU47" i="1" s="1"/>
  <c r="AW45" i="1"/>
  <c r="AE45" i="1"/>
  <c r="AU45" i="1" s="1"/>
  <c r="AW44" i="1"/>
  <c r="AE44" i="1"/>
  <c r="AU44" i="1" s="1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I167" i="2"/>
  <c r="H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167" i="2"/>
  <c r="AY45" i="1" l="1"/>
  <c r="BA45" i="1" s="1"/>
  <c r="AY55" i="1"/>
  <c r="BA55" i="1" s="1"/>
  <c r="AY53" i="1"/>
  <c r="BA53" i="1" s="1"/>
  <c r="AY47" i="1"/>
  <c r="BA47" i="1" s="1"/>
  <c r="AY57" i="1"/>
  <c r="BA57" i="1" s="1"/>
  <c r="AY44" i="1"/>
  <c r="BA44" i="1" s="1"/>
  <c r="D71" i="1"/>
  <c r="D69" i="1"/>
  <c r="D67" i="1"/>
  <c r="D65" i="1"/>
  <c r="D63" i="1"/>
  <c r="D61" i="1"/>
  <c r="D59" i="1"/>
  <c r="D57" i="1"/>
  <c r="D55" i="1"/>
  <c r="D53" i="1"/>
  <c r="D51" i="1"/>
  <c r="K71" i="1"/>
  <c r="Q71" i="1" s="1"/>
  <c r="S71" i="1" s="1"/>
  <c r="U71" i="1" s="1"/>
  <c r="K69" i="1"/>
  <c r="Q69" i="1" s="1"/>
  <c r="S69" i="1" s="1"/>
  <c r="U69" i="1" s="1"/>
  <c r="K67" i="1"/>
  <c r="Q67" i="1" s="1"/>
  <c r="S67" i="1" s="1"/>
  <c r="U67" i="1" s="1"/>
  <c r="K65" i="1"/>
  <c r="Q65" i="1" s="1"/>
  <c r="S65" i="1" s="1"/>
  <c r="K63" i="1"/>
  <c r="K61" i="1"/>
  <c r="Q61" i="1" s="1"/>
  <c r="S61" i="1" s="1"/>
  <c r="U61" i="1" s="1"/>
  <c r="K59" i="1"/>
  <c r="Q59" i="1" s="1"/>
  <c r="S59" i="1" s="1"/>
  <c r="K57" i="1"/>
  <c r="Q57" i="1" s="1"/>
  <c r="S57" i="1" s="1"/>
  <c r="K55" i="1"/>
  <c r="Q55" i="1" s="1"/>
  <c r="S55" i="1" s="1"/>
  <c r="K53" i="1"/>
  <c r="Q53" i="1" s="1"/>
  <c r="S53" i="1" s="1"/>
  <c r="K51" i="1"/>
  <c r="Q51" i="1" s="1"/>
  <c r="S51" i="1" s="1"/>
  <c r="Q63" i="1"/>
  <c r="S63" i="1" s="1"/>
  <c r="U63" i="1" s="1"/>
  <c r="M40" i="1"/>
  <c r="M38" i="1"/>
  <c r="M36" i="1"/>
  <c r="M34" i="1"/>
  <c r="M32" i="1"/>
  <c r="M30" i="1"/>
  <c r="M28" i="1"/>
  <c r="M26" i="1"/>
  <c r="M22" i="1"/>
  <c r="M24" i="1"/>
  <c r="K40" i="1"/>
  <c r="K38" i="1"/>
  <c r="K36" i="1"/>
  <c r="K34" i="1"/>
  <c r="K32" i="1"/>
  <c r="K30" i="1"/>
  <c r="K28" i="1"/>
  <c r="K26" i="1"/>
  <c r="K22" i="1"/>
  <c r="K24" i="1"/>
  <c r="I40" i="1"/>
  <c r="I38" i="1"/>
  <c r="I36" i="1"/>
  <c r="I34" i="1"/>
  <c r="I32" i="1"/>
  <c r="I30" i="1"/>
  <c r="I28" i="1"/>
  <c r="I26" i="1"/>
  <c r="I22" i="1"/>
  <c r="I24" i="1"/>
  <c r="AE22" i="1"/>
  <c r="AE24" i="1"/>
  <c r="AE26" i="1"/>
  <c r="AE40" i="1"/>
  <c r="AE38" i="1"/>
  <c r="AE36" i="1"/>
  <c r="AE34" i="1"/>
  <c r="AE32" i="1"/>
  <c r="AE30" i="1"/>
  <c r="AE28" i="1"/>
  <c r="U53" i="1" l="1"/>
  <c r="U55" i="1"/>
  <c r="Q22" i="1"/>
  <c r="S22" i="1" s="1"/>
  <c r="U22" i="1" s="1"/>
  <c r="Q32" i="1"/>
  <c r="S32" i="1" s="1"/>
  <c r="U32" i="1" s="1"/>
  <c r="Q40" i="1"/>
  <c r="S40" i="1" s="1"/>
  <c r="U40" i="1" s="1"/>
  <c r="Q26" i="1"/>
  <c r="S26" i="1" s="1"/>
  <c r="U26" i="1" s="1"/>
  <c r="Q34" i="1"/>
  <c r="S34" i="1" s="1"/>
  <c r="U34" i="1" s="1"/>
  <c r="Q24" i="1"/>
  <c r="S24" i="1" s="1"/>
  <c r="U24" i="1" s="1"/>
  <c r="Q30" i="1"/>
  <c r="S30" i="1" s="1"/>
  <c r="U30" i="1" s="1"/>
  <c r="Q38" i="1"/>
  <c r="S38" i="1" s="1"/>
  <c r="U38" i="1" s="1"/>
  <c r="Q28" i="1"/>
  <c r="S28" i="1" s="1"/>
  <c r="U28" i="1" s="1"/>
  <c r="Q36" i="1"/>
  <c r="S36" i="1" s="1"/>
  <c r="U36" i="1" s="1"/>
  <c r="U65" i="1"/>
  <c r="U59" i="1"/>
  <c r="U57" i="1"/>
  <c r="U51" i="1"/>
  <c r="U47" i="1" l="1"/>
  <c r="U18" i="1"/>
  <c r="AU40" i="1"/>
  <c r="AU32" i="1"/>
  <c r="AU28" i="1"/>
  <c r="AU26" i="1"/>
  <c r="AU24" i="1"/>
  <c r="AW40" i="1"/>
  <c r="AW38" i="1"/>
  <c r="AU38" i="1"/>
  <c r="AW36" i="1"/>
  <c r="AU36" i="1"/>
  <c r="AW34" i="1"/>
  <c r="AU34" i="1"/>
  <c r="AW32" i="1"/>
  <c r="AW30" i="1"/>
  <c r="AU30" i="1"/>
  <c r="AW28" i="1"/>
  <c r="AW26" i="1"/>
  <c r="AW24" i="1"/>
  <c r="AI22" i="1"/>
  <c r="AW22" i="1" s="1"/>
  <c r="AU22" i="1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Y24" i="1" l="1"/>
  <c r="BA24" i="1" s="1"/>
  <c r="AY34" i="1"/>
  <c r="BA34" i="1" s="1"/>
  <c r="AY40" i="1"/>
  <c r="BA40" i="1" s="1"/>
  <c r="AY26" i="1"/>
  <c r="BA26" i="1" s="1"/>
  <c r="AY28" i="1"/>
  <c r="BA28" i="1" s="1"/>
  <c r="AY32" i="1"/>
  <c r="BA32" i="1" s="1"/>
  <c r="AY30" i="1"/>
  <c r="BA30" i="1" s="1"/>
  <c r="AY36" i="1"/>
  <c r="BA36" i="1" s="1"/>
  <c r="AY38" i="1"/>
  <c r="BA38" i="1" s="1"/>
  <c r="AY22" i="1"/>
  <c r="BA22" i="1" s="1"/>
  <c r="BA18" i="1" l="1"/>
  <c r="E7" i="1" s="1"/>
  <c r="G7" i="1" s="1"/>
  <c r="G9" i="1" s="1"/>
  <c r="A113" i="5"/>
  <c r="A114" i="5"/>
  <c r="A115" i="5"/>
  <c r="A116" i="5"/>
  <c r="A117" i="5"/>
  <c r="A118" i="5"/>
  <c r="A119" i="5"/>
  <c r="A120" i="5"/>
  <c r="A121" i="5"/>
  <c r="A112" i="5"/>
  <c r="A111" i="5"/>
  <c r="A110" i="5"/>
  <c r="A109" i="5"/>
  <c r="A108" i="5"/>
  <c r="A107" i="5"/>
  <c r="A106" i="5"/>
  <c r="A105" i="5"/>
  <c r="A104" i="5"/>
  <c r="D25" i="5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31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I69" i="2"/>
  <c r="H70" i="2"/>
  <c r="H69" i="2"/>
  <c r="H68" i="2"/>
  <c r="I68" i="2"/>
  <c r="H67" i="2"/>
  <c r="I67" i="2"/>
  <c r="H66" i="2"/>
  <c r="I66" i="2"/>
  <c r="I65" i="2"/>
  <c r="H65" i="2"/>
  <c r="H25" i="2"/>
  <c r="H24" i="2"/>
  <c r="H23" i="2"/>
  <c r="H22" i="2"/>
  <c r="H21" i="2"/>
  <c r="H20" i="2"/>
  <c r="H19" i="2"/>
  <c r="H18" i="2"/>
  <c r="H17" i="2"/>
  <c r="H16" i="2"/>
  <c r="H15" i="2"/>
  <c r="H14" i="2"/>
  <c r="H9" i="2"/>
  <c r="H8" i="2"/>
  <c r="H7" i="2"/>
  <c r="H6" i="2"/>
  <c r="H5" i="2"/>
  <c r="H4" i="2"/>
  <c r="E11" i="1" l="1"/>
  <c r="E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Gouda</author>
  </authors>
  <commentList>
    <comment ref="B22" authorId="0" shapeId="0" xr:uid="{3BC46B9E-24EE-4F04-95BD-F3ECB22197D7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22" authorId="0" shapeId="0" xr:uid="{C95E880F-2678-4E88-B180-B347DB5D09F4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24" authorId="0" shapeId="0" xr:uid="{D8BC1D37-BFFC-4BAA-A42F-F94ED9E87C29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24" authorId="0" shapeId="0" xr:uid="{032B33D5-4706-403B-9C36-756A0A43F756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26" authorId="0" shapeId="0" xr:uid="{2BB70251-8D50-434F-96A9-CD31060CFAF8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26" authorId="0" shapeId="0" xr:uid="{8A129C47-BF67-4400-B646-414205629683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28" authorId="0" shapeId="0" xr:uid="{5CF08EC0-C5B1-4E8F-9348-ECD6DC9901E5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28" authorId="0" shapeId="0" xr:uid="{241070A7-BB30-444A-B74D-307C4AB07680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30" authorId="0" shapeId="0" xr:uid="{D606B937-A262-49E7-94BA-FED7A6863793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30" authorId="0" shapeId="0" xr:uid="{A6578798-D4C6-47F0-B6D5-AD74AE3895C9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32" authorId="0" shapeId="0" xr:uid="{55C3401F-CB1C-4D0C-A287-29B524F1C595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32" authorId="0" shapeId="0" xr:uid="{3F4CBBF8-F19F-4310-86FF-53B452D912BA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34" authorId="0" shapeId="0" xr:uid="{D8470BC8-D2CB-4800-A1A0-67C6BD840F81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34" authorId="0" shapeId="0" xr:uid="{1F779116-5066-4937-83A0-9C03AC2D22D8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36" authorId="0" shapeId="0" xr:uid="{E71D7267-E172-42A5-9543-4644AB9D402D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36" authorId="0" shapeId="0" xr:uid="{03057127-F45C-48F5-8C26-1312CCA30595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38" authorId="0" shapeId="0" xr:uid="{8554E154-2A0D-4B18-8CD7-4646EE894EE2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38" authorId="0" shapeId="0" xr:uid="{B9F486CB-2B58-4F15-8EDA-5A5B14DA712B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B40" authorId="0" shapeId="0" xr:uid="{82F3866B-6A85-4D06-A430-27E0783F4624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  <comment ref="Z40" authorId="0" shapeId="0" xr:uid="{FF064E2B-B924-496D-B690-C3B20D3BD76C}">
      <text>
        <r>
          <rPr>
            <sz val="9"/>
            <color indexed="81"/>
            <rFont val="Calibri Light"/>
            <family val="2"/>
            <scheme val="major"/>
          </rPr>
          <t>Copy row to repeat transfer for another destination or same destination for different transfer type</t>
        </r>
      </text>
    </comment>
  </commentList>
</comments>
</file>

<file path=xl/sharedStrings.xml><?xml version="1.0" encoding="utf-8"?>
<sst xmlns="http://schemas.openxmlformats.org/spreadsheetml/2006/main" count="1127" uniqueCount="390">
  <si>
    <t>Destination</t>
  </si>
  <si>
    <t>Sedan</t>
  </si>
  <si>
    <t>1*11</t>
  </si>
  <si>
    <t>1*16</t>
  </si>
  <si>
    <t>1*25</t>
  </si>
  <si>
    <t>1*45</t>
  </si>
  <si>
    <t>SSH</t>
  </si>
  <si>
    <t>مطار / فندق</t>
  </si>
  <si>
    <t>نصف يومية رأس محمد</t>
  </si>
  <si>
    <t>يومية كاملة رأس محمد</t>
  </si>
  <si>
    <t>توصيلة سقالة ذهاب و عودة</t>
  </si>
  <si>
    <t>رحلة جمال وادي مندر</t>
  </si>
  <si>
    <t>عشاء بدوي وادي خريزة</t>
  </si>
  <si>
    <t>جلاس بوت توصيلة</t>
  </si>
  <si>
    <t>موتوسيكلات توصيلة</t>
  </si>
  <si>
    <t>شرم الشيخ 4 ساعات سيتي تور</t>
  </si>
  <si>
    <t>شرم الشيخ 8 ساعات سيتي تور</t>
  </si>
  <si>
    <t>شرم - كاترين - شرم</t>
  </si>
  <si>
    <t>شرم - جبل موسي - شرم</t>
  </si>
  <si>
    <t>شرم - دهب توصيلة</t>
  </si>
  <si>
    <t>شرم - دهب  - شرم شوبينج</t>
  </si>
  <si>
    <t>شرم - نويبع توصيلة</t>
  </si>
  <si>
    <t>شرم  - طابا توصيلة</t>
  </si>
  <si>
    <t>شرم - طابا - شرم (القدس)</t>
  </si>
  <si>
    <t>شرم  - القاهرة (توصيلة)</t>
  </si>
  <si>
    <t>شرم - القاهرة - شرم (أوفر داي)</t>
  </si>
  <si>
    <t>شرم - القاهرة - شرم (أوفر نايت)</t>
  </si>
  <si>
    <t>طابا - كاترين - طابا</t>
  </si>
  <si>
    <t>ليلة مبيت</t>
  </si>
  <si>
    <t>سفاري دهب</t>
  </si>
  <si>
    <t>نصف يوم سفاري منجروف</t>
  </si>
  <si>
    <t>سفاري منجروف</t>
  </si>
  <si>
    <t>سوبر سفاري</t>
  </si>
  <si>
    <t>كانيون</t>
  </si>
  <si>
    <t>Rent</t>
  </si>
  <si>
    <t>Tip</t>
  </si>
  <si>
    <t>HRG</t>
  </si>
  <si>
    <t>مطار - داخلي</t>
  </si>
  <si>
    <t>مطار - الجونة</t>
  </si>
  <si>
    <t>مطار - سهل حشيش</t>
  </si>
  <si>
    <t>مطار - مكادي</t>
  </si>
  <si>
    <t>مطار- سفاجا</t>
  </si>
  <si>
    <t>مطار - نفرتاري</t>
  </si>
  <si>
    <t>مطار - القصير (حتي أكاسيا)</t>
  </si>
  <si>
    <t>مطار الغرقدة - بورت غالب</t>
  </si>
  <si>
    <t>مطار الغرقدة - مرسي علم</t>
  </si>
  <si>
    <t>مطار الغردقة - شمس علم</t>
  </si>
  <si>
    <t>سفر - وصول مرسي علم شمال</t>
  </si>
  <si>
    <t>سفر - وصول مرسي علم جنوب</t>
  </si>
  <si>
    <t>مطار الغردقة - حماطة</t>
  </si>
  <si>
    <t>الغردقة / جولة بلد - الف ليلة</t>
  </si>
  <si>
    <t>الجونة / جولة بلد - الف ليلة</t>
  </si>
  <si>
    <t>سهل حشيش / جولة بلد - الف ليلة</t>
  </si>
  <si>
    <t>مكادي / جولة بلد - الف ليلة</t>
  </si>
  <si>
    <t>سفاجا أو سوما باي / جولة بلد - الف ليلة</t>
  </si>
  <si>
    <t>الغردقة / بحر و عودة</t>
  </si>
  <si>
    <t>الجونة / بحر و عودة</t>
  </si>
  <si>
    <t>سهل حشيش / بحر و عودة</t>
  </si>
  <si>
    <t>مكادي / بحر و عودة</t>
  </si>
  <si>
    <t>سفاجا أو سوما باي / بحر و عودة</t>
  </si>
  <si>
    <t>شرم الناقة</t>
  </si>
  <si>
    <t>توصيلة أسوان</t>
  </si>
  <si>
    <t>توصيلة الأقصر</t>
  </si>
  <si>
    <t>توصيلة القاهرة</t>
  </si>
  <si>
    <t>أوفر داي الأقصر</t>
  </si>
  <si>
    <t>أوفر داي الأديرة - الزعفرانة</t>
  </si>
  <si>
    <t>أوفر داي القاهرة</t>
  </si>
  <si>
    <t>دندرة و أبيدوس</t>
  </si>
  <si>
    <t>أوفر داي أسوان</t>
  </si>
  <si>
    <t>أوفر نايت الإسكندرية</t>
  </si>
  <si>
    <t>ليلة مبيت مع مبيت للسائق</t>
  </si>
  <si>
    <t>LXR</t>
  </si>
  <si>
    <t>محطة / فندق / العكس</t>
  </si>
  <si>
    <t>محطة / فندق / العكس / جنوب المدينة</t>
  </si>
  <si>
    <t>توصيلة داخل البلد</t>
  </si>
  <si>
    <t>توصيلة داخل البلد / جنوب المدينة</t>
  </si>
  <si>
    <t>مطار / فندق / العكس</t>
  </si>
  <si>
    <t>مطار / فندق / العكس / جنوب المدينة</t>
  </si>
  <si>
    <t>توصيلة فندق المديرة / العكس</t>
  </si>
  <si>
    <t>مطار فندق المديرة / العكس</t>
  </si>
  <si>
    <t>معبد الأقصر</t>
  </si>
  <si>
    <t>معبد الأقصر / جنوب المدينة</t>
  </si>
  <si>
    <t>معبد الكرنك</t>
  </si>
  <si>
    <t>معبد الكرنك / جنوب المدينة</t>
  </si>
  <si>
    <t>المتحف</t>
  </si>
  <si>
    <t>المتحف / جنوب المدينة</t>
  </si>
  <si>
    <t>معبد الكرنك / الأقصر</t>
  </si>
  <si>
    <t>معبد الكرنك / الأقصر / جنوب المدينة</t>
  </si>
  <si>
    <t>الصوت و الضوء</t>
  </si>
  <si>
    <t>الصوت و الضوء / جنوب المدينة</t>
  </si>
  <si>
    <t>متحف / صوت و ضوء</t>
  </si>
  <si>
    <t>متحف / صوت و ضوء / جنوب المدينة</t>
  </si>
  <si>
    <t>غرب يوم كامل</t>
  </si>
  <si>
    <t>البر الغربي</t>
  </si>
  <si>
    <t>دندرة</t>
  </si>
  <si>
    <t>دندرة / أبيدوس</t>
  </si>
  <si>
    <t>إسنا</t>
  </si>
  <si>
    <t>إدفو / العودة</t>
  </si>
  <si>
    <t>إدفو / كوم أمبو / العودة</t>
  </si>
  <si>
    <t>أسوان توصيلة أو زيارات</t>
  </si>
  <si>
    <t>القصير</t>
  </si>
  <si>
    <t>سفاجا</t>
  </si>
  <si>
    <t>سفاجا / الأقصر بالزيارات مع مبيت و عوده</t>
  </si>
  <si>
    <t>الغردقة</t>
  </si>
  <si>
    <t>غرب + شرق + غردقة</t>
  </si>
  <si>
    <t>مرسي علم</t>
  </si>
  <si>
    <t>القاهرة</t>
  </si>
  <si>
    <t>سهرة عشاء البلد</t>
  </si>
  <si>
    <t>سهرة عشاء بالغرب</t>
  </si>
  <si>
    <t>يومية داخل البلد 8 ساعات</t>
  </si>
  <si>
    <t>توصيلة غداء بالبلد</t>
  </si>
  <si>
    <t>الواحات الخارجة</t>
  </si>
  <si>
    <t>الواحات الداخلة</t>
  </si>
  <si>
    <t>معبد الطود</t>
  </si>
  <si>
    <t>الغردقة مع الإنتظار و العودة نفس اليوم</t>
  </si>
  <si>
    <t>S</t>
  </si>
  <si>
    <t>ASW</t>
  </si>
  <si>
    <t>محطة / فندق</t>
  </si>
  <si>
    <t>محطة / ميناء السد العالي</t>
  </si>
  <si>
    <t>مطار / ميناء السد العالي</t>
  </si>
  <si>
    <t>مسلة / سد عالي</t>
  </si>
  <si>
    <t>معبد فيلة</t>
  </si>
  <si>
    <t>سد عالي / معبد فيلة</t>
  </si>
  <si>
    <t>مسلة / فيلة</t>
  </si>
  <si>
    <t>مسلة / سد عالي / معبد فيلة</t>
  </si>
  <si>
    <t>سد عالي / معبد فيلة / معبد كلابشة</t>
  </si>
  <si>
    <t>معبد كلابشة</t>
  </si>
  <si>
    <t>مطار / سد / مسلة</t>
  </si>
  <si>
    <t>مطار / سد / فيلة / مسلة</t>
  </si>
  <si>
    <t>مطار / معبد فيلة</t>
  </si>
  <si>
    <t>صوت و ضوء فيلة</t>
  </si>
  <si>
    <t>المتحف النوبي</t>
  </si>
  <si>
    <t>يوم بلد (8 ساعات)</t>
  </si>
  <si>
    <t>سهرة أو عشاء بالبلد</t>
  </si>
  <si>
    <t>جولة بلد</t>
  </si>
  <si>
    <t>دراو</t>
  </si>
  <si>
    <t>كوم أمبو (توصيلة)</t>
  </si>
  <si>
    <t>كوم أمبو / إدفو (أوفر داي)</t>
  </si>
  <si>
    <t>إدفو (توصيلة)</t>
  </si>
  <si>
    <t>الكاب (أوفر داي)</t>
  </si>
  <si>
    <t>الأقصر (توصيلة أو زيارات)</t>
  </si>
  <si>
    <t>أسوان / مرسي علم / البلد</t>
  </si>
  <si>
    <t>سفاجا توصيلة</t>
  </si>
  <si>
    <t>الغردقة (توصيلة)</t>
  </si>
  <si>
    <t>أبو سمبل و العودة في نفس اليوم</t>
  </si>
  <si>
    <t>أبو سمبل و العودة في اليوم التالي</t>
  </si>
  <si>
    <t>دير الأنبا هدرا</t>
  </si>
  <si>
    <t>مقابر النبلاء</t>
  </si>
  <si>
    <t>غرب سهيل</t>
  </si>
  <si>
    <t>غرب سهيل / زيارة</t>
  </si>
  <si>
    <t>RMF</t>
  </si>
  <si>
    <t>مطار - فنادق شمال</t>
  </si>
  <si>
    <t>مطار - فنادق شمال - مطار</t>
  </si>
  <si>
    <t>مطار - فنادق جنوب</t>
  </si>
  <si>
    <t>مطار - فنادق جنوب - مطار</t>
  </si>
  <si>
    <t>مطار - فنادق شمس علم</t>
  </si>
  <si>
    <t>مطار - فنادق شمس علم - مطار</t>
  </si>
  <si>
    <t>فنادق شمال - الغردقة</t>
  </si>
  <si>
    <t>فنادق جنوب - الغردقة</t>
  </si>
  <si>
    <t>القصير (حتي أكاسيا) - الغرقدة</t>
  </si>
  <si>
    <t>فنادق شمال - جولة بلد</t>
  </si>
  <si>
    <t>فنادق جنوب - جولة بلد</t>
  </si>
  <si>
    <t>فنادق - رحلة أبو دباب</t>
  </si>
  <si>
    <t>فنادق - شرم اللولي</t>
  </si>
  <si>
    <t>بحر و عودة - حماطة</t>
  </si>
  <si>
    <t>شلاتين أوفر داي</t>
  </si>
  <si>
    <t>الأقصر أوفر داي - شمال مرسي علم</t>
  </si>
  <si>
    <t>الأقصر أوفر داي - جنوب مرسي علم</t>
  </si>
  <si>
    <t>أسوان أوفر داي</t>
  </si>
  <si>
    <t>أسوان أوفر نايت + أبو سمبل</t>
  </si>
  <si>
    <t>رحلة وادي الجمال و العودة</t>
  </si>
  <si>
    <t>توصيلة الأقصر من شمال مرسي علم</t>
  </si>
  <si>
    <t>توصيلة الأقصر من جنوب مرسي علم</t>
  </si>
  <si>
    <t>قلعة صلاح الدين الأيوبي</t>
  </si>
  <si>
    <t>بانوراما قصر البارون</t>
  </si>
  <si>
    <t>مدرسة السلطان حسن وجامع الرفاعي</t>
  </si>
  <si>
    <t>منزل السحيمي</t>
  </si>
  <si>
    <t>باب زويلة</t>
  </si>
  <si>
    <t>التكية المولوية</t>
  </si>
  <si>
    <t>مجموعة محمد بك أبو الدهب (متحف نجيب محفوظ)</t>
  </si>
  <si>
    <t>سبيل وكتاب محمد علي بالعقادين</t>
  </si>
  <si>
    <t>وكالة الغوري</t>
  </si>
  <si>
    <t>منزل الهراوي</t>
  </si>
  <si>
    <t>قصر محمد علي بشبرا (الافتتاح قريبا)</t>
  </si>
  <si>
    <t>شجرة مريم</t>
  </si>
  <si>
    <t>شارع المعز</t>
  </si>
  <si>
    <t>مقياس النيل</t>
  </si>
  <si>
    <t xml:space="preserve">متحف المطار  2 و 3 </t>
  </si>
  <si>
    <t>متحف المركبات اللكية</t>
  </si>
  <si>
    <t>مجموعة الغوري القبة والسبيل والمنزل</t>
  </si>
  <si>
    <t>منزل علي لبيب</t>
  </si>
  <si>
    <t>سييل وكتاب قايتباي شارع الصليبة</t>
  </si>
  <si>
    <t>منزل الست وسيلة</t>
  </si>
  <si>
    <t>سبيل نفيسه البيضا</t>
  </si>
  <si>
    <t>مسلة سنوسرت الأول بالمطرية</t>
  </si>
  <si>
    <t>المتحف المصري بالتحرير</t>
  </si>
  <si>
    <t>المرشد السمعي ( المجموعات) التحف الصري</t>
  </si>
  <si>
    <t>متحق الفن الإسلامي</t>
  </si>
  <si>
    <t>المتحف القبطي</t>
  </si>
  <si>
    <t>قصر البارون</t>
  </si>
  <si>
    <t>قصر محمد علي بالمنيل</t>
  </si>
  <si>
    <t>Price</t>
  </si>
  <si>
    <t>Sight</t>
  </si>
  <si>
    <t>Giza</t>
  </si>
  <si>
    <t>Cairo</t>
  </si>
  <si>
    <t>منطقة أهرامات الجيزة</t>
  </si>
  <si>
    <t>هرم خوفو من الداخل</t>
  </si>
  <si>
    <t>هرم خفرع (أهرامات الجيزة)</t>
  </si>
  <si>
    <t>أبو الهول (زيارات خاصة فقط) رسوم فتح الموقع</t>
  </si>
  <si>
    <t>مقبرة مر- اس -عنخ</t>
  </si>
  <si>
    <t>مقابر العمال</t>
  </si>
  <si>
    <t>هرم منكاورع (أهرامات الجيزة</t>
  </si>
  <si>
    <t>المقبرة الجنوبية</t>
  </si>
  <si>
    <t>تذاكر مجمعة لجميع مقابر سقارة</t>
  </si>
  <si>
    <t>منطقة سقارة ومتحف إيمحتب (تشمل زيارة مجموعة الهرم المدرج للملك زوسر، أهرامات تتي وأوناس ،كاجمني نكاواسسي، عنخ ماحور، نفر، سشم بتاح،بتاح حتب، تي، إيدوت، أوناس عنخ، إينفرت)</t>
  </si>
  <si>
    <t>مقابر النبلاء، مقابر الدولة الحديثة بجبانة حور محب والبوباسطين</t>
  </si>
  <si>
    <t>هرم زوسر المدرج من المدخل الجنوبي (سقارة)</t>
  </si>
  <si>
    <t>السرابيوم (سقارة)</t>
  </si>
  <si>
    <t>مقبرة مريروكا (سقارة)</t>
  </si>
  <si>
    <t>منطقة دهشور</t>
  </si>
  <si>
    <t>منطقة ميت رهينة</t>
  </si>
  <si>
    <t>Alexandria</t>
  </si>
  <si>
    <t>مقابر مصطفى كامل</t>
  </si>
  <si>
    <t>مقابر الأنفوشي</t>
  </si>
  <si>
    <t>مقابر الشاطبي</t>
  </si>
  <si>
    <t>متحف السويس القومي</t>
  </si>
  <si>
    <t>متحف الإسماعيلية</t>
  </si>
  <si>
    <t>معبد الوحي بسيوة</t>
  </si>
  <si>
    <t>جبل الموتى بسيوة</t>
  </si>
  <si>
    <t>متحف مطروح</t>
  </si>
  <si>
    <t>متحف كهف روميل</t>
  </si>
  <si>
    <t>آثار مدينة رشيد</t>
  </si>
  <si>
    <t>قلعة قايتباي</t>
  </si>
  <si>
    <t>كوم الدكة (المسرح الروماني)</t>
  </si>
  <si>
    <t>عمود السواري</t>
  </si>
  <si>
    <t>الآثار الغارقة بالميناء الشرقي (المتحف المغمور)</t>
  </si>
  <si>
    <t>متحف الإسكندرية القومي</t>
  </si>
  <si>
    <t>متحف المجوهرات الملكية</t>
  </si>
  <si>
    <t>المتحف اليوناني الروماني (عند الافتتاح)</t>
  </si>
  <si>
    <t>كوم الشقافة</t>
  </si>
  <si>
    <t>مقبرة ستي الأول</t>
  </si>
  <si>
    <t>مقبرة آي</t>
  </si>
  <si>
    <t>Luxor</t>
  </si>
  <si>
    <t>معبد المعلا</t>
  </si>
  <si>
    <t>معابد الكرنك (التذكرة تشمل زيارة طريق الكباش)</t>
  </si>
  <si>
    <t>معبد موت بالكرنك</t>
  </si>
  <si>
    <t>معبد الأقصر (التذكرة تشمل زيارة طريق الكباش)</t>
  </si>
  <si>
    <t>وادي الملوك</t>
  </si>
  <si>
    <t>الدير البحري (حتشبسوت)</t>
  </si>
  <si>
    <t>دير المدينة</t>
  </si>
  <si>
    <t>مقبرة باشدو</t>
  </si>
  <si>
    <t>مقبرة رعموزا</t>
  </si>
  <si>
    <t>معبد الرامسيوم</t>
  </si>
  <si>
    <t>علوة عبد القرنة</t>
  </si>
  <si>
    <t>بيت كارتر ونسخة من مقبرة توت عنخ آمون</t>
  </si>
  <si>
    <t>مقبرة مننا ونخت</t>
  </si>
  <si>
    <t>معبد ستي الأول</t>
  </si>
  <si>
    <t>مقبرة أوسرحات وخنسو</t>
  </si>
  <si>
    <t>العساسيف</t>
  </si>
  <si>
    <t>معبد إسنا</t>
  </si>
  <si>
    <t>مقبرة توت عنخ آمون (وادي الملوك)</t>
  </si>
  <si>
    <t>مقبرة رمسيس السادس (وادي الملوك)</t>
  </si>
  <si>
    <t>معبد هابو</t>
  </si>
  <si>
    <t>وادي الملكات</t>
  </si>
  <si>
    <t>مقبرة نفرتاري (وادي الملكات)</t>
  </si>
  <si>
    <t>مقبرة باباسا</t>
  </si>
  <si>
    <t>مقابر الخوخة</t>
  </si>
  <si>
    <t>مقابر روي وشروي</t>
  </si>
  <si>
    <t>معبد إيزيس ودير شلويط</t>
  </si>
  <si>
    <t>جبانة قرنة مرمي</t>
  </si>
  <si>
    <t>جبانة الشيخ عبد القرنة</t>
  </si>
  <si>
    <t>معبد مرنبتاح</t>
  </si>
  <si>
    <t>متحف التحنيط</t>
  </si>
  <si>
    <t>متحف الأقصر</t>
  </si>
  <si>
    <t>المرشد السمعي متحف الأقصر</t>
  </si>
  <si>
    <t>معبد ستي الأول (أبيدوس)</t>
  </si>
  <si>
    <t>قصر الأمير يوسف كمال</t>
  </si>
  <si>
    <t>بانوراما معبد دندرة</t>
  </si>
  <si>
    <t>معبد دندرة</t>
  </si>
  <si>
    <t>Aswan</t>
  </si>
  <si>
    <t>دير الأنبا سمعان</t>
  </si>
  <si>
    <t>معابد أبو سمبل</t>
  </si>
  <si>
    <t>معابد فيلة</t>
  </si>
  <si>
    <t>بانوراما معابد فيلة</t>
  </si>
  <si>
    <t>معبد إدفو</t>
  </si>
  <si>
    <t>معبد كوم امبو</t>
  </si>
  <si>
    <t>قبة الهوا</t>
  </si>
  <si>
    <t>جزيرة الفنتين</t>
  </si>
  <si>
    <t>المسلة الناقصة</t>
  </si>
  <si>
    <t>معبد أبو سمبل إحتفالية تعامد الشمس ٢٢ أكتوبر/٢٢ فبراير</t>
  </si>
  <si>
    <t>معابد كلابشة</t>
  </si>
  <si>
    <t>الكاب</t>
  </si>
  <si>
    <t>معبد عمدا</t>
  </si>
  <si>
    <t>معبد وادي السبوع</t>
  </si>
  <si>
    <t>جزيرة سهيل</t>
  </si>
  <si>
    <t>جبل السلسلة</t>
  </si>
  <si>
    <t>معبد إيزيس</t>
  </si>
  <si>
    <t>متحف النوبة</t>
  </si>
  <si>
    <t>Transportation Calculation</t>
  </si>
  <si>
    <t>Destination List</t>
  </si>
  <si>
    <t>Transfer Name</t>
  </si>
  <si>
    <t>Transfer Slice</t>
  </si>
  <si>
    <t>Slice</t>
  </si>
  <si>
    <t>Transfer Price</t>
  </si>
  <si>
    <t>No. Of Pax</t>
  </si>
  <si>
    <t>ROE</t>
  </si>
  <si>
    <t>Profit Margin</t>
  </si>
  <si>
    <t>Total Transfers PP</t>
  </si>
  <si>
    <t>Price PP EGP</t>
  </si>
  <si>
    <t>Price PP $</t>
  </si>
  <si>
    <t># of TRSF</t>
  </si>
  <si>
    <t>TTL TRSF</t>
  </si>
  <si>
    <t>Rep Allowance</t>
  </si>
  <si>
    <t>Driver Tip</t>
  </si>
  <si>
    <t>Rep Tip</t>
  </si>
  <si>
    <t>i</t>
  </si>
  <si>
    <t>Sightseeing Calculation</t>
  </si>
  <si>
    <t>Sightseeing</t>
  </si>
  <si>
    <t>Price EGP</t>
  </si>
  <si>
    <t>Price USD</t>
  </si>
  <si>
    <t>Guidance</t>
  </si>
  <si>
    <t>Police Tip</t>
  </si>
  <si>
    <t>Police Permitt</t>
  </si>
  <si>
    <t>Meals</t>
  </si>
  <si>
    <t>Drinks</t>
  </si>
  <si>
    <t>Parking</t>
  </si>
  <si>
    <t>Destinations</t>
  </si>
  <si>
    <t>Rep</t>
  </si>
  <si>
    <t>TTL PP in EGP</t>
  </si>
  <si>
    <t>G/PP</t>
  </si>
  <si>
    <t>G.TTL PP EGP</t>
  </si>
  <si>
    <t>Net PP $</t>
  </si>
  <si>
    <t>VAT %</t>
  </si>
  <si>
    <t>Selling PP inc. VAT</t>
  </si>
  <si>
    <t>Accommodation Calculation</t>
  </si>
  <si>
    <t>Accommodation Name</t>
  </si>
  <si>
    <t>Rooms</t>
  </si>
  <si>
    <t>Rate PRPN</t>
  </si>
  <si>
    <t>Arrival</t>
  </si>
  <si>
    <t>Departure</t>
  </si>
  <si>
    <t>Duration</t>
  </si>
  <si>
    <t>TTL Inc VAT</t>
  </si>
  <si>
    <t>TTL Ex VAT</t>
  </si>
  <si>
    <t>DBL</t>
  </si>
  <si>
    <t>SGL</t>
  </si>
  <si>
    <t>TPL</t>
  </si>
  <si>
    <t>Room Occ</t>
  </si>
  <si>
    <t>CAI</t>
  </si>
  <si>
    <t>مطار / سهرة من وسط البلد / هرم</t>
  </si>
  <si>
    <t>مطار / سهرة من أكتوبر</t>
  </si>
  <si>
    <t>نص يوم هرم / بلد من الهرم / وسط البلد</t>
  </si>
  <si>
    <t>نص يوم هرم / بلد من أكتوبر</t>
  </si>
  <si>
    <t>يومية هرم / بلد من الهرم / وسط البلد</t>
  </si>
  <si>
    <t>يومية هرم / بلد من أكتوبر</t>
  </si>
  <si>
    <t>يومية دهشور من الهرم / وسط البلد</t>
  </si>
  <si>
    <t>في حالة عشاء مطعم بعد اليومية أو السهرة</t>
  </si>
  <si>
    <t>مطار / يومية / مطار</t>
  </si>
  <si>
    <t>توصيلة / الإسكندرية</t>
  </si>
  <si>
    <t>توصيلة / الفيوم وادي الريان</t>
  </si>
  <si>
    <t>توصيلة / بورسعيد</t>
  </si>
  <si>
    <t>توصيلة / الزعفرانة</t>
  </si>
  <si>
    <t>توصيلة / الساحل حتي بورتو مارينا</t>
  </si>
  <si>
    <t>توصيلة / رأس سدر</t>
  </si>
  <si>
    <t>يومية / الإسكندرية</t>
  </si>
  <si>
    <t>يومية / الفيوم وادي الريان</t>
  </si>
  <si>
    <t>يومية / بورسعيد</t>
  </si>
  <si>
    <t>يومية / الزعفرانة</t>
  </si>
  <si>
    <t>يومية / الساحل حتي بورتو مارينا</t>
  </si>
  <si>
    <t>يومية / رأس سدر</t>
  </si>
  <si>
    <t>توصيلة / السويس</t>
  </si>
  <si>
    <t>توصيلة / السخنة</t>
  </si>
  <si>
    <t>توصيلة / الإسماعيلية</t>
  </si>
  <si>
    <t>توصيلة / المنصورة</t>
  </si>
  <si>
    <t>توصيلة / المحلة</t>
  </si>
  <si>
    <t>توصيلة / الساحل بعد بورتو مارينا</t>
  </si>
  <si>
    <t>توصيلة / مطروح</t>
  </si>
  <si>
    <t>توصيلة / الغردقة</t>
  </si>
  <si>
    <t>توصيلة / شرم الشيخ</t>
  </si>
  <si>
    <t>يومية / السويس</t>
  </si>
  <si>
    <t>يومية / السخنة</t>
  </si>
  <si>
    <t>يومية / الإسماعيلية</t>
  </si>
  <si>
    <t>يومية / المنصورة</t>
  </si>
  <si>
    <t>يومية / المحلة</t>
  </si>
  <si>
    <t>القاهرة / دهب</t>
  </si>
  <si>
    <t>الأقصر / مرسي علم / سيوة</t>
  </si>
  <si>
    <t>القاهرة أسوان</t>
  </si>
  <si>
    <t>اليوم مبيت خارج القاهرة</t>
  </si>
  <si>
    <t>Including FOC</t>
  </si>
  <si>
    <t>1/2 يومية هرم أو بلد من وسط البلد</t>
  </si>
  <si>
    <t>تشغيل مفتوح 10 ساعات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</si>
</sst>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&quot;$&quot;#,##0.00"/>
    <numFmt numFmtId="166" formatCode="[$-409]d/mmm/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indexed="81"/>
      <name val="Calibri Light"/>
      <family val="2"/>
      <scheme val="major"/>
    </font>
    <font>
      <b/>
      <sz val="11"/>
      <color theme="1"/>
      <name val="Times New Roman"/>
      <family val="1"/>
    </font>
    <font>
      <b/>
      <i/>
      <sz val="11"/>
      <color rgb="FFFFFF00"/>
      <name val="Times New Roman"/>
      <family val="1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17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8" xfId="0" applyFill="1" applyBorder="1"/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1" xfId="0" applyFill="1" applyBorder="1" applyAlignment="1">
      <alignment horizontal="right" vertical="center"/>
    </xf>
    <xf numFmtId="0" fontId="0" fillId="2" borderId="17" xfId="0" applyFill="1" applyBorder="1" applyAlignment="1">
      <alignment horizontal="right"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5" borderId="0" xfId="0" applyFill="1"/>
    <xf numFmtId="0" fontId="0" fillId="4" borderId="21" xfId="0" applyFill="1" applyBorder="1"/>
    <xf numFmtId="4" fontId="0" fillId="4" borderId="21" xfId="0" applyNumberForma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65" fontId="0" fillId="4" borderId="21" xfId="0" applyNumberFormat="1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right"/>
    </xf>
    <xf numFmtId="0" fontId="0" fillId="7" borderId="0" xfId="0" applyFill="1" applyAlignment="1">
      <alignment horizontal="left"/>
    </xf>
    <xf numFmtId="0" fontId="0" fillId="7" borderId="21" xfId="0" applyFill="1" applyBorder="1"/>
    <xf numFmtId="0" fontId="0" fillId="7" borderId="22" xfId="0" applyFill="1" applyBorder="1"/>
    <xf numFmtId="0" fontId="0" fillId="7" borderId="0" xfId="0" applyFill="1" applyAlignment="1">
      <alignment horizontal="center" vertical="center"/>
    </xf>
    <xf numFmtId="0" fontId="4" fillId="7" borderId="0" xfId="0" applyFont="1" applyFill="1"/>
    <xf numFmtId="0" fontId="4" fillId="7" borderId="0" xfId="0" applyFont="1" applyFill="1" applyAlignment="1">
      <alignment vertical="center"/>
    </xf>
    <xf numFmtId="165" fontId="3" fillId="4" borderId="23" xfId="0" applyNumberFormat="1" applyFont="1" applyFill="1" applyBorder="1" applyAlignment="1">
      <alignment horizontal="center" vertical="center"/>
    </xf>
    <xf numFmtId="9" fontId="0" fillId="4" borderId="0" xfId="0" applyNumberFormat="1" applyFill="1" applyAlignment="1">
      <alignment horizontal="left"/>
    </xf>
    <xf numFmtId="0" fontId="7" fillId="5" borderId="0" xfId="0" applyFont="1" applyFill="1"/>
    <xf numFmtId="0" fontId="8" fillId="8" borderId="0" xfId="0" applyFont="1" applyFill="1"/>
    <xf numFmtId="166" fontId="0" fillId="4" borderId="21" xfId="0" applyNumberFormat="1" applyFill="1" applyBorder="1"/>
    <xf numFmtId="165" fontId="0" fillId="4" borderId="21" xfId="0" applyNumberFormat="1" applyFill="1" applyBorder="1"/>
    <xf numFmtId="165" fontId="0" fillId="4" borderId="21" xfId="0" applyNumberFormat="1" applyFill="1" applyBorder="1" applyAlignment="1">
      <alignment horizontal="center"/>
    </xf>
    <xf numFmtId="0" fontId="0" fillId="4" borderId="21" xfId="0" applyFill="1" applyBorder="1" applyAlignment="1">
      <alignment horizontal="left"/>
    </xf>
    <xf numFmtId="0" fontId="9" fillId="7" borderId="0" xfId="0" applyFont="1" applyFill="1" applyAlignment="1">
      <alignment horizontal="left"/>
    </xf>
    <xf numFmtId="165" fontId="0" fillId="4" borderId="0" xfId="0" applyNumberFormat="1" applyFill="1" applyAlignment="1">
      <alignment horizontal="left"/>
    </xf>
    <xf numFmtId="0" fontId="7" fillId="7" borderId="0" xfId="0" applyFont="1" applyFill="1"/>
    <xf numFmtId="0" fontId="10" fillId="7" borderId="0" xfId="0" applyFont="1" applyFill="1"/>
    <xf numFmtId="0" fontId="9" fillId="7" borderId="0" xfId="0" applyFont="1" applyFill="1"/>
    <xf numFmtId="165" fontId="9" fillId="4" borderId="0" xfId="0" applyNumberFormat="1" applyFont="1" applyFill="1" applyAlignment="1">
      <alignment horizontal="left"/>
    </xf>
    <xf numFmtId="0" fontId="11" fillId="7" borderId="0" xfId="0" applyFont="1" applyFill="1"/>
    <xf numFmtId="0" fontId="2" fillId="6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F147E1-8696-4758-BB53-DFD30B3D3A01}">
  <we:reference id="wa200005502" version="1.0.0.9" store="en-US" storeType="OMEX"/>
  <we:alternateReferences>
    <we:reference id="wa200005502" version="1.0.0.9" store="wa200005502" storeType="OMEX"/>
  </we:alternateReferences>
  <we:properties>
    <we:property name="docId" value="&quot;8e5b86b9-09be-47a9-8dd1-dfceafa1e06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B1FB-7838-4F2F-A301-1DF92EA97276}">
  <dimension ref="B1:BC304"/>
  <sheetViews>
    <sheetView topLeftCell="A50" workbookViewId="0">
      <selection activeCell="E5" sqref="E5"/>
    </sheetView>
  </sheetViews>
  <sheetFormatPr defaultColWidth="9.109375" defaultRowHeight="14.4" zeroHeight="1" x14ac:dyDescent="0.3"/>
  <cols>
    <col min="1" max="1" width="1.5546875" style="47" customWidth="1"/>
    <col min="2" max="2" width="1.5546875" style="31" customWidth="1"/>
    <col min="3" max="3" width="11.44140625" style="31" customWidth="1"/>
    <col min="4" max="4" width="1.5546875" style="31" customWidth="1"/>
    <col min="5" max="5" width="29.6640625" style="31" bestFit="1" customWidth="1"/>
    <col min="6" max="6" width="1.5546875" style="31" customWidth="1"/>
    <col min="7" max="7" width="10" style="31" bestFit="1" customWidth="1"/>
    <col min="8" max="8" width="1.5546875" style="31" customWidth="1"/>
    <col min="9" max="9" width="13.33203125" style="31" customWidth="1"/>
    <col min="10" max="10" width="1.5546875" style="31" customWidth="1"/>
    <col min="11" max="11" width="13.33203125" style="31" customWidth="1"/>
    <col min="12" max="12" width="1.5546875" style="31" customWidth="1"/>
    <col min="13" max="13" width="13.33203125" style="31" customWidth="1"/>
    <col min="14" max="14" width="1.5546875" style="31" customWidth="1"/>
    <col min="15" max="15" width="6.5546875" style="31" bestFit="1" customWidth="1"/>
    <col min="16" max="16" width="1.5546875" style="31" customWidth="1"/>
    <col min="17" max="17" width="11.88671875" style="31" customWidth="1"/>
    <col min="18" max="18" width="1.5546875" style="31" customWidth="1"/>
    <col min="19" max="19" width="12.109375" style="31" customWidth="1"/>
    <col min="20" max="20" width="1.5546875" style="31" customWidth="1"/>
    <col min="21" max="21" width="12.33203125" style="31" customWidth="1"/>
    <col min="22" max="22" width="1.5546875" style="31" customWidth="1"/>
    <col min="23" max="23" width="0.6640625" style="36" customWidth="1"/>
    <col min="24" max="24" width="0.6640625" style="47" customWidth="1"/>
    <col min="25" max="25" width="0.6640625" style="36" customWidth="1"/>
    <col min="26" max="26" width="1.5546875" style="47" customWidth="1"/>
    <col min="27" max="27" width="11.33203125" style="47" customWidth="1"/>
    <col min="28" max="28" width="1.5546875" style="47" customWidth="1"/>
    <col min="29" max="29" width="34.33203125" style="47" customWidth="1"/>
    <col min="30" max="30" width="1.5546875" style="47" customWidth="1"/>
    <col min="31" max="31" width="9.109375" style="47"/>
    <col min="32" max="32" width="1.5546875" style="47" customWidth="1"/>
    <col min="33" max="33" width="9.109375" style="47"/>
    <col min="34" max="34" width="1.5546875" style="47" hidden="1" customWidth="1"/>
    <col min="35" max="35" width="0" style="47" hidden="1" customWidth="1"/>
    <col min="36" max="36" width="1.5546875" style="47" customWidth="1"/>
    <col min="37" max="37" width="9.109375" style="47"/>
    <col min="38" max="38" width="1.5546875" style="47" customWidth="1"/>
    <col min="39" max="39" width="11" style="47" customWidth="1"/>
    <col min="40" max="40" width="1.5546875" style="47" customWidth="1"/>
    <col min="41" max="41" width="9.109375" style="47"/>
    <col min="42" max="42" width="1.5546875" style="47" customWidth="1"/>
    <col min="43" max="43" width="9.109375" style="47"/>
    <col min="44" max="44" width="1.5546875" style="47" customWidth="1"/>
    <col min="45" max="45" width="9.109375" style="47"/>
    <col min="46" max="46" width="1.5546875" style="47" hidden="1" customWidth="1"/>
    <col min="47" max="47" width="0" style="47" hidden="1" customWidth="1"/>
    <col min="48" max="48" width="1.5546875" style="47" hidden="1" customWidth="1"/>
    <col min="49" max="49" width="0" style="47" hidden="1" customWidth="1"/>
    <col min="50" max="50" width="1.5546875" style="47" hidden="1" customWidth="1"/>
    <col min="51" max="51" width="3.109375" style="47" hidden="1" customWidth="1"/>
    <col min="52" max="52" width="1.5546875" style="47" customWidth="1"/>
    <col min="53" max="53" width="9.109375" style="47"/>
    <col min="54" max="54" width="1.5546875" style="31" customWidth="1"/>
    <col min="55" max="55" width="0.6640625" style="36" customWidth="1"/>
    <col min="56" max="56" width="1.5546875" style="47" customWidth="1"/>
    <col min="57" max="16384" width="9.109375" style="47"/>
  </cols>
  <sheetData>
    <row r="1" spans="2:55" x14ac:dyDescent="0.3">
      <c r="B1" s="47"/>
      <c r="C1" s="42" t="s">
        <v>304</v>
      </c>
      <c r="D1" s="47"/>
      <c r="E1" s="34">
        <v>2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Y1" s="47"/>
      <c r="BB1" s="47"/>
      <c r="BC1" s="47"/>
    </row>
    <row r="2" spans="2:55" ht="4.5" customHeight="1" x14ac:dyDescent="0.3">
      <c r="B2" s="47"/>
      <c r="C2" s="47"/>
      <c r="D2" s="47"/>
      <c r="E2" s="4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Y2" s="47"/>
      <c r="BB2" s="47"/>
      <c r="BC2" s="47"/>
    </row>
    <row r="3" spans="2:55" x14ac:dyDescent="0.3">
      <c r="B3" s="47"/>
      <c r="C3" s="42" t="s">
        <v>305</v>
      </c>
      <c r="D3" s="47"/>
      <c r="E3" s="35">
        <v>30.95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Y3" s="47"/>
      <c r="BB3" s="47"/>
      <c r="BC3" s="47"/>
    </row>
    <row r="4" spans="2:55" ht="4.5" customHeight="1" x14ac:dyDescent="0.3">
      <c r="B4" s="47"/>
      <c r="C4" s="47"/>
      <c r="D4" s="47"/>
      <c r="E4" s="49"/>
      <c r="F4" s="47"/>
      <c r="G4" s="66"/>
      <c r="H4" s="66"/>
      <c r="I4" s="66"/>
      <c r="J4" s="66"/>
      <c r="K4" s="66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Y4" s="47"/>
      <c r="BB4" s="47"/>
      <c r="BC4" s="47"/>
    </row>
    <row r="5" spans="2:55" x14ac:dyDescent="0.3">
      <c r="B5" s="47"/>
      <c r="C5" s="42" t="s">
        <v>306</v>
      </c>
      <c r="D5" s="47"/>
      <c r="E5" s="34">
        <v>151.9</v>
      </c>
      <c r="F5" s="47"/>
      <c r="G5" s="66"/>
      <c r="H5" s="66"/>
      <c r="I5" s="66"/>
      <c r="J5" s="66"/>
      <c r="K5" s="66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Y5" s="47"/>
      <c r="BB5" s="47"/>
      <c r="BC5" s="47"/>
    </row>
    <row r="6" spans="2:55" ht="4.5" customHeight="1" x14ac:dyDescent="0.3">
      <c r="B6" s="47"/>
      <c r="C6" s="47"/>
      <c r="D6" s="47"/>
      <c r="E6" s="49"/>
      <c r="F6" s="47"/>
      <c r="G6" s="69"/>
      <c r="H6" s="69"/>
      <c r="I6" s="69"/>
      <c r="J6" s="66"/>
      <c r="K6" s="66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Y6" s="47"/>
      <c r="BB6" s="47"/>
      <c r="BC6" s="47"/>
    </row>
    <row r="7" spans="2:55" x14ac:dyDescent="0.3">
      <c r="B7" s="47"/>
      <c r="C7" s="42" t="s">
        <v>331</v>
      </c>
      <c r="D7" s="47"/>
      <c r="E7" s="64">
        <f>IFERROR(SUM(U18,BA18,U47),0)</f>
        <v>311.63166397415188</v>
      </c>
      <c r="F7" s="47"/>
      <c r="G7" s="67">
        <f>IFERROR(SUM(E5:E7),0)</f>
        <v>463.53166397415191</v>
      </c>
      <c r="H7" s="67"/>
      <c r="I7" s="67"/>
      <c r="J7" s="66"/>
      <c r="K7" s="66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Y7" s="47"/>
      <c r="BB7" s="47"/>
      <c r="BC7" s="47"/>
    </row>
    <row r="8" spans="2:55" ht="4.5" customHeight="1" x14ac:dyDescent="0.3">
      <c r="B8" s="47"/>
      <c r="C8" s="47"/>
      <c r="D8" s="47"/>
      <c r="E8" s="49"/>
      <c r="F8" s="47"/>
      <c r="G8" s="67"/>
      <c r="H8" s="67"/>
      <c r="I8" s="67"/>
      <c r="J8" s="66"/>
      <c r="K8" s="66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Y8" s="47"/>
      <c r="BB8" s="47"/>
      <c r="BC8" s="47"/>
    </row>
    <row r="9" spans="2:55" x14ac:dyDescent="0.3">
      <c r="B9" s="47"/>
      <c r="C9" s="42" t="s">
        <v>332</v>
      </c>
      <c r="D9" s="47"/>
      <c r="E9" s="56">
        <v>0.21</v>
      </c>
      <c r="F9" s="47"/>
      <c r="G9" s="67">
        <f>IFERROR(G7*(1+$E$9),0)</f>
        <v>560.87331340872379</v>
      </c>
      <c r="H9" s="67"/>
      <c r="I9" s="67"/>
      <c r="J9" s="66"/>
      <c r="K9" s="66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Y9" s="47"/>
      <c r="BB9" s="47"/>
      <c r="BC9" s="47"/>
    </row>
    <row r="10" spans="2:55" ht="4.5" customHeight="1" x14ac:dyDescent="0.3">
      <c r="B10" s="47"/>
      <c r="C10" s="47"/>
      <c r="D10" s="47"/>
      <c r="E10" s="49"/>
      <c r="F10" s="47"/>
      <c r="G10" s="67"/>
      <c r="H10" s="67"/>
      <c r="I10" s="67"/>
      <c r="J10" s="66"/>
      <c r="K10" s="66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Y10" s="47"/>
      <c r="BB10" s="47"/>
      <c r="BC10" s="47"/>
    </row>
    <row r="11" spans="2:55" x14ac:dyDescent="0.3">
      <c r="B11" s="47"/>
      <c r="C11" s="42" t="s">
        <v>333</v>
      </c>
      <c r="D11" s="47"/>
      <c r="E11" s="64">
        <f>$G$9</f>
        <v>560.87331340872379</v>
      </c>
      <c r="F11" s="47"/>
      <c r="G11" s="67"/>
      <c r="H11" s="67"/>
      <c r="I11" s="67"/>
      <c r="J11" s="66"/>
      <c r="K11" s="66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Y11" s="47"/>
      <c r="BB11" s="47"/>
      <c r="BC11" s="47"/>
    </row>
    <row r="12" spans="2:55" ht="4.5" customHeight="1" x14ac:dyDescent="0.3">
      <c r="B12" s="47"/>
      <c r="C12" s="47"/>
      <c r="D12" s="47"/>
      <c r="E12" s="49"/>
      <c r="F12" s="47"/>
      <c r="G12" s="69"/>
      <c r="H12" s="69"/>
      <c r="I12" s="69"/>
      <c r="J12" s="66"/>
      <c r="K12" s="66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Y12" s="47"/>
      <c r="BB12" s="47"/>
      <c r="BC12" s="47"/>
    </row>
    <row r="13" spans="2:55" x14ac:dyDescent="0.3">
      <c r="B13" s="47"/>
      <c r="C13" s="42" t="s">
        <v>387</v>
      </c>
      <c r="D13" s="47"/>
      <c r="E13" s="68">
        <f>E11*16/15</f>
        <v>598.264867635972</v>
      </c>
      <c r="F13" s="47"/>
      <c r="G13" s="66"/>
      <c r="H13" s="66"/>
      <c r="I13" s="66"/>
      <c r="J13" s="66"/>
      <c r="K13" s="66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Y13" s="47"/>
      <c r="BB13" s="47"/>
      <c r="BC13" s="47"/>
    </row>
    <row r="14" spans="2:55" x14ac:dyDescent="0.3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Y14" s="47"/>
      <c r="BB14" s="47"/>
      <c r="BC14" s="47"/>
    </row>
    <row r="15" spans="2:55" x14ac:dyDescent="0.3">
      <c r="B15" s="47"/>
      <c r="C15" s="70" t="s">
        <v>298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47"/>
      <c r="Y15" s="47"/>
      <c r="AA15" s="70" t="s">
        <v>316</v>
      </c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47"/>
    </row>
    <row r="16" spans="2:55" x14ac:dyDescent="0.3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8" t="s">
        <v>307</v>
      </c>
      <c r="V16" s="47"/>
      <c r="Y16" s="47"/>
      <c r="BB16" s="47"/>
    </row>
    <row r="17" spans="2:54" ht="4.5" customHeight="1" x14ac:dyDescent="0.3">
      <c r="B17" s="47"/>
      <c r="C17" s="47"/>
      <c r="D17" s="47"/>
      <c r="E17" s="49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50"/>
      <c r="V17" s="47"/>
      <c r="Y17" s="47"/>
      <c r="BB17" s="47"/>
    </row>
    <row r="18" spans="2:54" x14ac:dyDescent="0.3"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51"/>
      <c r="U18" s="55">
        <f>IFERROR(SUM($U22:$U40),0)</f>
        <v>170.75928917609048</v>
      </c>
      <c r="V18" s="47"/>
      <c r="Y18" s="47"/>
      <c r="BA18" s="55">
        <f>IFERROR(SUM($BA22:$BA57),0)</f>
        <v>140.8723747980614</v>
      </c>
      <c r="BB18" s="47"/>
    </row>
    <row r="19" spans="2:54" ht="4.5" customHeight="1" x14ac:dyDescent="0.3">
      <c r="B19" s="47"/>
      <c r="C19" s="47"/>
      <c r="D19" s="47"/>
      <c r="E19" s="49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Y19" s="47"/>
      <c r="BB19" s="47"/>
    </row>
    <row r="20" spans="2:54" ht="15" customHeight="1" x14ac:dyDescent="0.3">
      <c r="B20" s="47"/>
      <c r="C20" s="42" t="s">
        <v>0</v>
      </c>
      <c r="D20" s="53"/>
      <c r="E20" s="42" t="s">
        <v>300</v>
      </c>
      <c r="F20" s="54"/>
      <c r="G20" s="44" t="s">
        <v>301</v>
      </c>
      <c r="H20" s="54"/>
      <c r="I20" s="44" t="s">
        <v>303</v>
      </c>
      <c r="J20" s="47"/>
      <c r="K20" s="44" t="s">
        <v>313</v>
      </c>
      <c r="L20" s="47"/>
      <c r="M20" s="44" t="s">
        <v>314</v>
      </c>
      <c r="N20" s="54"/>
      <c r="O20" s="44" t="s">
        <v>310</v>
      </c>
      <c r="P20" s="43"/>
      <c r="Q20" s="42" t="s">
        <v>311</v>
      </c>
      <c r="R20" s="45"/>
      <c r="S20" s="46" t="s">
        <v>308</v>
      </c>
      <c r="T20" s="52"/>
      <c r="U20" s="42" t="s">
        <v>309</v>
      </c>
      <c r="V20" s="47"/>
      <c r="Y20" s="47"/>
      <c r="AA20" s="42" t="s">
        <v>0</v>
      </c>
      <c r="AC20" s="42" t="s">
        <v>317</v>
      </c>
      <c r="AE20" s="42" t="s">
        <v>318</v>
      </c>
      <c r="AG20" s="42" t="s">
        <v>320</v>
      </c>
      <c r="AI20" s="42" t="s">
        <v>314</v>
      </c>
      <c r="AK20" s="42" t="s">
        <v>321</v>
      </c>
      <c r="AM20" s="42" t="s">
        <v>322</v>
      </c>
      <c r="AO20" s="42" t="s">
        <v>323</v>
      </c>
      <c r="AQ20" s="42" t="s">
        <v>324</v>
      </c>
      <c r="AS20" s="42" t="s">
        <v>325</v>
      </c>
      <c r="AU20" s="42" t="s">
        <v>328</v>
      </c>
      <c r="AW20" s="42" t="s">
        <v>329</v>
      </c>
      <c r="AY20" s="42" t="s">
        <v>330</v>
      </c>
      <c r="BA20" s="42" t="s">
        <v>319</v>
      </c>
      <c r="BB20" s="47"/>
    </row>
    <row r="21" spans="2:54" ht="4.5" customHeight="1" x14ac:dyDescent="0.3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Y21" s="47"/>
      <c r="BB21" s="47"/>
    </row>
    <row r="22" spans="2:54" x14ac:dyDescent="0.3">
      <c r="B22" s="58" t="s">
        <v>315</v>
      </c>
      <c r="C22" s="37" t="s">
        <v>347</v>
      </c>
      <c r="D22" s="47"/>
      <c r="E22" s="41" t="s">
        <v>348</v>
      </c>
      <c r="F22" s="47"/>
      <c r="G22" s="39" t="s">
        <v>2</v>
      </c>
      <c r="H22" s="47"/>
      <c r="I22" s="38">
        <f>IFERROR(IF($G22=TransportationLists!$O$4,VLOOKUP($E22,TRSF_Price,2,FALSE),IF($G22=TransportationLists!$O$5,VLOOKUP($E22,TRSF_Price,4,FALSE),IF($G22=TransportationLists!$O$6,VLOOKUP($E22,TRSF_Price,6,FALSE),IF($G22=TransportationLists!$O$7,VLOOKUP($E22,TRSF_Price,8,FALSE),IF($G22=TransportationLists!$O$8,VLOOKUP($E22,TRSF_Price,10,FALSE)))))),0)</f>
        <v>500</v>
      </c>
      <c r="J22" s="47"/>
      <c r="K22" s="38">
        <f>IFERROR(IF($G22=TransportationLists!$O$4,VLOOKUP($E22,TRSF_Price,3,FALSE),IF($G22=TransportationLists!$O$5,VLOOKUP($E22,TRSF_Price,5,FALSE),IF($G22=TransportationLists!$O$6,VLOOKUP($E22,TRSF_Price,7,FALSE),IF($G22=TransportationLists!$O$7,VLOOKUP($E22,TRSF_Price,9,FALSE),IF($G22=TransportationLists!$O$8,VLOOKUP($E22,TRSF_Price,11,FALSE)))))),)</f>
        <v>150</v>
      </c>
      <c r="L22" s="47"/>
      <c r="M22" s="38">
        <f>IFERROR(IF($G22=TransportationLists!$O$4,VLOOKUP($E22,TRSF_Price,12,FALSE),IF($G22=TransportationLists!$O$5,VLOOKUP($E22,TRSF_Price,12,FALSE),IF($G22=TransportationLists!$O$6,VLOOKUP($E22,TRSF_Price,12,FALSE),IF($G22=TransportationLists!$O$7,VLOOKUP($E22,TRSF_Price,12,FALSE),IF($G22=TransportationLists!$O$8,VLOOKUP($E22,TRSF_Price,12,FALSE)))))),0)</f>
        <v>250</v>
      </c>
      <c r="N22" s="53"/>
      <c r="O22" s="39">
        <v>3</v>
      </c>
      <c r="P22" s="53"/>
      <c r="Q22" s="38">
        <f>IFERROR(($I22+$K22+$M22)*$O22,0)</f>
        <v>2700</v>
      </c>
      <c r="R22" s="53"/>
      <c r="S22" s="38">
        <f>IFERROR($Q22/$E$1,0)</f>
        <v>1350</v>
      </c>
      <c r="T22" s="47"/>
      <c r="U22" s="40">
        <f>IFERROR($S22/$E$3,0)</f>
        <v>43.618739903069468</v>
      </c>
      <c r="V22" s="47"/>
      <c r="W22" s="57"/>
      <c r="X22" s="65"/>
      <c r="Y22" s="65"/>
      <c r="Z22" s="58" t="s">
        <v>315</v>
      </c>
      <c r="AA22" s="37" t="s">
        <v>203</v>
      </c>
      <c r="AC22" s="37" t="s">
        <v>205</v>
      </c>
      <c r="AE22" s="41">
        <f>IFERROR(VLOOKUP($AC22,SightseeingLists!$C$3:$E$121,2,FALSE),0)</f>
        <v>540</v>
      </c>
      <c r="AG22" s="37">
        <v>1500</v>
      </c>
      <c r="AI22" s="37">
        <f>VLOOKUP($AC22,SightseeingLists!$C$3:$E$121,3,FALSE)</f>
        <v>0</v>
      </c>
      <c r="AK22" s="37">
        <v>100</v>
      </c>
      <c r="AM22" s="37">
        <v>150</v>
      </c>
      <c r="AO22" s="37">
        <v>400</v>
      </c>
      <c r="AQ22" s="37">
        <v>0</v>
      </c>
      <c r="AS22" s="37">
        <v>50</v>
      </c>
      <c r="AU22" s="37">
        <f>SUM(AE22,AO22,AQ22)</f>
        <v>940</v>
      </c>
      <c r="AW22" s="37">
        <f>SUM($AG22,$AI22,$AK22,$AM22,$AS22)/$E$1</f>
        <v>900</v>
      </c>
      <c r="AY22" s="37">
        <f>SUM($AU22,$AW22)</f>
        <v>1840</v>
      </c>
      <c r="BA22" s="40">
        <f>IFERROR($AY22/$E$3,0)</f>
        <v>59.450726978998382</v>
      </c>
      <c r="BB22" s="47"/>
    </row>
    <row r="23" spans="2:54" ht="4.5" customHeight="1" x14ac:dyDescent="0.3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53"/>
      <c r="O23" s="47"/>
      <c r="P23" s="47"/>
      <c r="Q23" s="47"/>
      <c r="R23" s="47"/>
      <c r="S23" s="47"/>
      <c r="T23" s="47"/>
      <c r="U23" s="47"/>
      <c r="V23" s="47"/>
      <c r="Y23" s="47"/>
      <c r="BB23" s="47"/>
    </row>
    <row r="24" spans="2:54" x14ac:dyDescent="0.3">
      <c r="B24" s="58" t="s">
        <v>315</v>
      </c>
      <c r="C24" s="37" t="s">
        <v>36</v>
      </c>
      <c r="D24" s="47"/>
      <c r="E24" s="41" t="s">
        <v>39</v>
      </c>
      <c r="F24" s="47"/>
      <c r="G24" s="39" t="s">
        <v>2</v>
      </c>
      <c r="H24" s="47"/>
      <c r="I24" s="38">
        <f>IFERROR(IF($G24=TransportationLists!$O$4,VLOOKUP($E24,TRSF_Price,2,FALSE),IF($G24=TransportationLists!$O$5,VLOOKUP($E24,TRSF_Price,4,FALSE),IF($G24=TransportationLists!$O$6,VLOOKUP($E24,TRSF_Price,6,FALSE),IF($G24=TransportationLists!$O$7,VLOOKUP($E24,TRSF_Price,8,FALSE),IF($G24=TransportationLists!$O$8,VLOOKUP($E24,TRSF_Price,10,FALSE)))))),0)</f>
        <v>605</v>
      </c>
      <c r="J24" s="47"/>
      <c r="K24" s="38">
        <f>IFERROR(IF($G24=TransportationLists!$O$4,VLOOKUP($E24,TRSF_Price,3,FALSE),IF($G24=TransportationLists!$O$5,VLOOKUP($E24,TRSF_Price,5,FALSE),IF($G24=TransportationLists!$O$6,VLOOKUP($E24,TRSF_Price,7,FALSE),IF($G24=TransportationLists!$O$7,VLOOKUP($E24,TRSF_Price,9,FALSE),IF($G24=TransportationLists!$O$8,VLOOKUP($E24,TRSF_Price,11,FALSE)))))),)</f>
        <v>100</v>
      </c>
      <c r="L24" s="47"/>
      <c r="M24" s="38">
        <f>IFERROR(IF($G24=TransportationLists!$O$4,VLOOKUP($E24,TRSF_Price,12,FALSE),IF($G24=TransportationLists!$O$5,VLOOKUP($E24,TRSF_Price,12,FALSE),IF($G24=TransportationLists!$O$6,VLOOKUP($E24,TRSF_Price,12,FALSE),IF($G24=TransportationLists!$O$7,VLOOKUP($E24,TRSF_Price,12,FALSE),IF($G24=TransportationLists!$O$8,VLOOKUP($E24,TRSF_Price,12,FALSE)))))),0)</f>
        <v>150</v>
      </c>
      <c r="N24" s="53"/>
      <c r="O24" s="39">
        <v>2</v>
      </c>
      <c r="P24" s="53"/>
      <c r="Q24" s="38">
        <f>IFERROR(($I24+$K24+$M24)*$O24,0)</f>
        <v>1710</v>
      </c>
      <c r="R24" s="53"/>
      <c r="S24" s="38">
        <f>IFERROR($Q24/$E$1,0)</f>
        <v>855</v>
      </c>
      <c r="T24" s="47"/>
      <c r="U24" s="40">
        <f>IFERROR($S24/$E$3,0)</f>
        <v>27.625201938610662</v>
      </c>
      <c r="V24" s="47"/>
      <c r="W24" s="57"/>
      <c r="X24" s="65"/>
      <c r="Y24" s="65"/>
      <c r="Z24" s="58" t="s">
        <v>315</v>
      </c>
      <c r="AA24" s="37" t="s">
        <v>203</v>
      </c>
      <c r="AC24" s="37" t="s">
        <v>216</v>
      </c>
      <c r="AE24" s="41">
        <f>IFERROR(VLOOKUP($AC24,SightseeingLists!$C$3:$E$121,2,FALSE),0)</f>
        <v>220</v>
      </c>
      <c r="AG24" s="37"/>
      <c r="AI24" s="37"/>
      <c r="AK24" s="37"/>
      <c r="AM24" s="37"/>
      <c r="AO24" s="37"/>
      <c r="AQ24" s="37"/>
      <c r="AS24" s="37">
        <v>50</v>
      </c>
      <c r="AU24" s="37">
        <f>SUM(AE24,AO24,AQ24)</f>
        <v>220</v>
      </c>
      <c r="AW24" s="37">
        <f>SUM($AG24,$AI24,$AK24,$AM24,$AS24)/$E$1</f>
        <v>25</v>
      </c>
      <c r="AY24" s="37">
        <f>SUM($AU24,$AW24)</f>
        <v>245</v>
      </c>
      <c r="BA24" s="40">
        <f>IFERROR($AY24/$E$3,0)</f>
        <v>7.915993537964459</v>
      </c>
      <c r="BB24" s="47"/>
    </row>
    <row r="25" spans="2:54" ht="4.5" customHeight="1" x14ac:dyDescent="0.3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53"/>
      <c r="O25" s="47"/>
      <c r="P25" s="47"/>
      <c r="Q25" s="47"/>
      <c r="R25" s="47"/>
      <c r="S25" s="47"/>
      <c r="T25" s="47"/>
      <c r="U25" s="47"/>
      <c r="V25" s="47"/>
      <c r="Y25" s="47"/>
      <c r="BB25" s="47"/>
    </row>
    <row r="26" spans="2:54" x14ac:dyDescent="0.3">
      <c r="B26" s="58" t="s">
        <v>315</v>
      </c>
      <c r="C26" s="37" t="s">
        <v>347</v>
      </c>
      <c r="D26" s="47"/>
      <c r="E26" s="41" t="s">
        <v>388</v>
      </c>
      <c r="F26" s="47"/>
      <c r="G26" s="39" t="s">
        <v>2</v>
      </c>
      <c r="H26" s="47"/>
      <c r="I26" s="38">
        <f>IFERROR(IF($G26=TransportationLists!$O$4,VLOOKUP($E26,TRSF_Price,2,FALSE),IF($G26=TransportationLists!$O$5,VLOOKUP($E26,TRSF_Price,4,FALSE),IF($G26=TransportationLists!$O$6,VLOOKUP($E26,TRSF_Price,6,FALSE),IF($G26=TransportationLists!$O$7,VLOOKUP($E26,TRSF_Price,8,FALSE),IF($G26=TransportationLists!$O$8,VLOOKUP($E26,TRSF_Price,10,FALSE)))))),0)</f>
        <v>1100</v>
      </c>
      <c r="J26" s="47"/>
      <c r="K26" s="38">
        <f>IFERROR(IF($G26=TransportationLists!$O$4,VLOOKUP($E26,TRSF_Price,3,FALSE),IF($G26=TransportationLists!$O$5,VLOOKUP($E26,TRSF_Price,5,FALSE),IF($G26=TransportationLists!$O$6,VLOOKUP($E26,TRSF_Price,7,FALSE),IF($G26=TransportationLists!$O$7,VLOOKUP($E26,TRSF_Price,9,FALSE),IF($G26=TransportationLists!$O$8,VLOOKUP($E26,TRSF_Price,11,FALSE)))))),)</f>
        <v>100</v>
      </c>
      <c r="L26" s="47"/>
      <c r="M26" s="38">
        <f>IFERROR(IF($G26=TransportationLists!$O$4,VLOOKUP($E26,TRSF_Price,12,FALSE),IF($G26=TransportationLists!$O$5,VLOOKUP($E26,TRSF_Price,12,FALSE),IF($G26=TransportationLists!$O$6,VLOOKUP($E26,TRSF_Price,12,FALSE),IF($G26=TransportationLists!$O$7,VLOOKUP($E26,TRSF_Price,12,FALSE),IF($G26=TransportationLists!$O$8,VLOOKUP($E26,TRSF_Price,12,FALSE)))))),0)</f>
        <v>150</v>
      </c>
      <c r="N26" s="53"/>
      <c r="O26" s="39">
        <v>2</v>
      </c>
      <c r="P26" s="53"/>
      <c r="Q26" s="38">
        <f>IFERROR(($I26+$K26+$M26)*$O26,0)</f>
        <v>2700</v>
      </c>
      <c r="R26" s="53"/>
      <c r="S26" s="38">
        <f>IFERROR($Q26/$E$1,0)</f>
        <v>1350</v>
      </c>
      <c r="T26" s="47"/>
      <c r="U26" s="40">
        <f>IFERROR($S26/$E$3,0)</f>
        <v>43.618739903069468</v>
      </c>
      <c r="V26" s="47"/>
      <c r="W26" s="57"/>
      <c r="X26" s="65"/>
      <c r="Y26" s="65"/>
      <c r="Z26" s="58" t="s">
        <v>315</v>
      </c>
      <c r="AA26" s="37" t="s">
        <v>204</v>
      </c>
      <c r="AC26" s="37" t="s">
        <v>173</v>
      </c>
      <c r="AE26" s="41">
        <f>IFERROR(VLOOKUP($AC26,SightseeingLists!$C$3:$E$121,2,FALSE),0)</f>
        <v>450</v>
      </c>
      <c r="AG26" s="37">
        <v>1500</v>
      </c>
      <c r="AI26" s="37"/>
      <c r="AK26" s="37">
        <v>100</v>
      </c>
      <c r="AM26" s="37">
        <v>150</v>
      </c>
      <c r="AO26" s="37">
        <v>400</v>
      </c>
      <c r="AQ26" s="37"/>
      <c r="AS26" s="37">
        <v>50</v>
      </c>
      <c r="AU26" s="37">
        <f>SUM(AE26,AO26,AQ26)</f>
        <v>850</v>
      </c>
      <c r="AW26" s="37">
        <f>SUM($AG26,$AI26,$AK26,$AM26,$AS26)/$E$1</f>
        <v>900</v>
      </c>
      <c r="AY26" s="37">
        <f>SUM($AU26,$AW26)</f>
        <v>1750</v>
      </c>
      <c r="BA26" s="40">
        <f>IFERROR($AY26/$E$3,0)</f>
        <v>56.54281098546042</v>
      </c>
      <c r="BB26" s="47"/>
    </row>
    <row r="27" spans="2:54" ht="4.5" customHeight="1" x14ac:dyDescent="0.3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53"/>
      <c r="O27" s="47"/>
      <c r="P27" s="47"/>
      <c r="Q27" s="47"/>
      <c r="R27" s="47"/>
      <c r="S27" s="47"/>
      <c r="T27" s="47"/>
      <c r="U27" s="47"/>
      <c r="V27" s="47"/>
      <c r="Y27" s="47"/>
      <c r="BB27" s="47"/>
    </row>
    <row r="28" spans="2:54" x14ac:dyDescent="0.3">
      <c r="B28" s="58" t="s">
        <v>315</v>
      </c>
      <c r="C28" s="37" t="s">
        <v>347</v>
      </c>
      <c r="D28" s="47"/>
      <c r="E28" s="41" t="s">
        <v>389</v>
      </c>
      <c r="F28" s="47"/>
      <c r="G28" s="39" t="s">
        <v>2</v>
      </c>
      <c r="H28" s="47"/>
      <c r="I28" s="38">
        <f>IFERROR(IF($G28=TransportationLists!$O$4,VLOOKUP($E28,TRSF_Price,2,FALSE),IF($G28=TransportationLists!$O$5,VLOOKUP($E28,TRSF_Price,4,FALSE),IF($G28=TransportationLists!$O$6,VLOOKUP($E28,TRSF_Price,6,FALSE),IF($G28=TransportationLists!$O$7,VLOOKUP($E28,TRSF_Price,8,FALSE),IF($G28=TransportationLists!$O$8,VLOOKUP($E28,TRSF_Price,10,FALSE)))))),0)</f>
        <v>1500</v>
      </c>
      <c r="J28" s="47"/>
      <c r="K28" s="38">
        <f>IFERROR(IF($G28=TransportationLists!$O$4,VLOOKUP($E28,TRSF_Price,3,FALSE),IF($G28=TransportationLists!$O$5,VLOOKUP($E28,TRSF_Price,5,FALSE),IF($G28=TransportationLists!$O$6,VLOOKUP($E28,TRSF_Price,7,FALSE),IF($G28=TransportationLists!$O$7,VLOOKUP($E28,TRSF_Price,9,FALSE),IF($G28=TransportationLists!$O$8,VLOOKUP($E28,TRSF_Price,11,FALSE)))))),)</f>
        <v>100</v>
      </c>
      <c r="L28" s="47"/>
      <c r="M28" s="38">
        <f>IFERROR(IF($G28=TransportationLists!$O$4,VLOOKUP($E28,TRSF_Price,12,FALSE),IF($G28=TransportationLists!$O$5,VLOOKUP($E28,TRSF_Price,12,FALSE),IF($G28=TransportationLists!$O$6,VLOOKUP($E28,TRSF_Price,12,FALSE),IF($G28=TransportationLists!$O$7,VLOOKUP($E28,TRSF_Price,12,FALSE),IF($G28=TransportationLists!$O$8,VLOOKUP($E28,TRSF_Price,12,FALSE)))))),0)</f>
        <v>150</v>
      </c>
      <c r="N28" s="53"/>
      <c r="O28" s="39">
        <v>1</v>
      </c>
      <c r="P28" s="53"/>
      <c r="Q28" s="38">
        <f>IFERROR(($I28+$K28+$M28)*$O28,0)</f>
        <v>1750</v>
      </c>
      <c r="R28" s="53"/>
      <c r="S28" s="38">
        <f>IFERROR($Q28/$E$1,0)</f>
        <v>875</v>
      </c>
      <c r="T28" s="47"/>
      <c r="U28" s="40">
        <f>IFERROR($S28/$E$3,0)</f>
        <v>28.27140549273021</v>
      </c>
      <c r="V28" s="47"/>
      <c r="W28" s="57"/>
      <c r="X28" s="65"/>
      <c r="Y28" s="65"/>
      <c r="Z28" s="58" t="s">
        <v>315</v>
      </c>
      <c r="AA28" s="37" t="s">
        <v>204</v>
      </c>
      <c r="AC28" s="37" t="s">
        <v>195</v>
      </c>
      <c r="AE28" s="41">
        <f>IFERROR(VLOOKUP($AC28,SightseeingLists!$C$3:$E$121,2,FALSE),0)</f>
        <v>450</v>
      </c>
      <c r="AG28" s="37"/>
      <c r="AI28" s="37"/>
      <c r="AK28" s="37"/>
      <c r="AM28" s="37"/>
      <c r="AO28" s="37"/>
      <c r="AQ28" s="37"/>
      <c r="AS28" s="37">
        <v>50</v>
      </c>
      <c r="AU28" s="37">
        <f>SUM(AE28,AO28,AQ28)</f>
        <v>450</v>
      </c>
      <c r="AW28" s="37">
        <f>SUM($AG28,$AI28,$AK28,$AM28,$AS28)/$E$1</f>
        <v>25</v>
      </c>
      <c r="AY28" s="37">
        <f>SUM($AU28,$AW28)</f>
        <v>475</v>
      </c>
      <c r="BA28" s="40">
        <f>IFERROR($AY28/$E$3,0)</f>
        <v>15.347334410339258</v>
      </c>
      <c r="BB28" s="47"/>
    </row>
    <row r="29" spans="2:54" ht="4.5" customHeight="1" x14ac:dyDescent="0.3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53"/>
      <c r="O29" s="47"/>
      <c r="P29" s="47"/>
      <c r="Q29" s="47"/>
      <c r="R29" s="47"/>
      <c r="S29" s="47"/>
      <c r="T29" s="47"/>
      <c r="U29" s="47"/>
      <c r="V29" s="47"/>
      <c r="Y29" s="47"/>
      <c r="BB29" s="47"/>
    </row>
    <row r="30" spans="2:54" x14ac:dyDescent="0.3">
      <c r="B30" s="58" t="s">
        <v>315</v>
      </c>
      <c r="C30" s="37" t="s">
        <v>36</v>
      </c>
      <c r="D30" s="47"/>
      <c r="E30" s="41" t="s">
        <v>39</v>
      </c>
      <c r="F30" s="47"/>
      <c r="G30" s="39" t="s">
        <v>2</v>
      </c>
      <c r="H30" s="47"/>
      <c r="I30" s="38">
        <f>IFERROR(IF($G30=TransportationLists!$O$4,VLOOKUP($E30,TRSF_Price,2,FALSE),IF($G30=TransportationLists!$O$5,VLOOKUP($E30,TRSF_Price,4,FALSE),IF($G30=TransportationLists!$O$6,VLOOKUP($E30,TRSF_Price,6,FALSE),IF($G30=TransportationLists!$O$7,VLOOKUP($E30,TRSF_Price,8,FALSE),IF($G30=TransportationLists!$O$8,VLOOKUP($E30,TRSF_Price,10,FALSE)))))),0)</f>
        <v>605</v>
      </c>
      <c r="J30" s="47"/>
      <c r="K30" s="38">
        <f>IFERROR(IF($G30=TransportationLists!$O$4,VLOOKUP($E30,TRSF_Price,3,FALSE),IF($G30=TransportationLists!$O$5,VLOOKUP($E30,TRSF_Price,5,FALSE),IF($G30=TransportationLists!$O$6,VLOOKUP($E30,TRSF_Price,7,FALSE),IF($G30=TransportationLists!$O$7,VLOOKUP($E30,TRSF_Price,9,FALSE),IF($G30=TransportationLists!$O$8,VLOOKUP($E30,TRSF_Price,11,FALSE)))))),)</f>
        <v>100</v>
      </c>
      <c r="L30" s="47"/>
      <c r="M30" s="38">
        <f>IFERROR(IF($G30=TransportationLists!$O$4,VLOOKUP($E30,TRSF_Price,12,FALSE),IF($G30=TransportationLists!$O$5,VLOOKUP($E30,TRSF_Price,12,FALSE),IF($G30=TransportationLists!$O$6,VLOOKUP($E30,TRSF_Price,12,FALSE),IF($G30=TransportationLists!$O$7,VLOOKUP($E30,TRSF_Price,12,FALSE),IF($G30=TransportationLists!$O$8,VLOOKUP($E30,TRSF_Price,12,FALSE)))))),0)</f>
        <v>150</v>
      </c>
      <c r="N30" s="53"/>
      <c r="O30" s="39">
        <v>2</v>
      </c>
      <c r="P30" s="53"/>
      <c r="Q30" s="38">
        <f>IFERROR(($I30+$K30+$M30)*$O30,0)</f>
        <v>1710</v>
      </c>
      <c r="R30" s="53"/>
      <c r="S30" s="38">
        <f>IFERROR($Q30/$E$1,0)</f>
        <v>855</v>
      </c>
      <c r="T30" s="47"/>
      <c r="U30" s="40">
        <f>IFERROR($S30/$E$3,0)</f>
        <v>27.625201938610662</v>
      </c>
      <c r="V30" s="47"/>
      <c r="W30" s="57"/>
      <c r="X30" s="65"/>
      <c r="Y30" s="65"/>
      <c r="Z30" s="58" t="s">
        <v>315</v>
      </c>
      <c r="AA30" s="37" t="s">
        <v>204</v>
      </c>
      <c r="AC30" s="37" t="s">
        <v>196</v>
      </c>
      <c r="AE30" s="41">
        <f>IFERROR(VLOOKUP($AC30,SightseeingLists!$C$3:$E$121,2,FALSE),0)</f>
        <v>50</v>
      </c>
      <c r="AG30" s="37"/>
      <c r="AI30" s="37"/>
      <c r="AK30" s="37"/>
      <c r="AM30" s="37"/>
      <c r="AO30" s="37"/>
      <c r="AQ30" s="37"/>
      <c r="AS30" s="37"/>
      <c r="AU30" s="37">
        <f>SUM(AE30,AO30,AQ30)</f>
        <v>50</v>
      </c>
      <c r="AW30" s="37">
        <f>SUM($AG30,$AI30,$AK30,$AM30,$AS30)/$E$1</f>
        <v>0</v>
      </c>
      <c r="AY30" s="37">
        <f>SUM($AU30,$AW30)</f>
        <v>50</v>
      </c>
      <c r="BA30" s="40">
        <f>IFERROR($AY30/$E$3,0)</f>
        <v>1.6155088852988693</v>
      </c>
      <c r="BB30" s="47"/>
    </row>
    <row r="31" spans="2:54" ht="4.5" customHeight="1" x14ac:dyDescent="0.3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53"/>
      <c r="O31" s="47"/>
      <c r="P31" s="47"/>
      <c r="Q31" s="47"/>
      <c r="R31" s="47"/>
      <c r="S31" s="47"/>
      <c r="T31" s="47"/>
      <c r="U31" s="47"/>
      <c r="V31" s="47"/>
      <c r="Y31" s="47"/>
      <c r="BB31" s="47"/>
    </row>
    <row r="32" spans="2:54" x14ac:dyDescent="0.3">
      <c r="B32" s="58" t="s">
        <v>315</v>
      </c>
      <c r="C32" s="37"/>
      <c r="D32" s="47"/>
      <c r="E32" s="41"/>
      <c r="F32" s="47"/>
      <c r="G32" s="39"/>
      <c r="H32" s="47"/>
      <c r="I32" s="38" t="b">
        <f>IFERROR(IF($G32=TransportationLists!$O$4,VLOOKUP($E32,TRSF_Price,2,FALSE),IF($G32=TransportationLists!$O$5,VLOOKUP($E32,TRSF_Price,4,FALSE),IF($G32=TransportationLists!$O$6,VLOOKUP($E32,TRSF_Price,6,FALSE),IF($G32=TransportationLists!$O$7,VLOOKUP($E32,TRSF_Price,8,FALSE),IF($G32=TransportationLists!$O$8,VLOOKUP($E32,TRSF_Price,10,FALSE)))))),0)</f>
        <v>0</v>
      </c>
      <c r="J32" s="47"/>
      <c r="K32" s="38" t="b">
        <f>IFERROR(IF($G32=TransportationLists!$O$4,VLOOKUP($E32,TRSF_Price,3,FALSE),IF($G32=TransportationLists!$O$5,VLOOKUP($E32,TRSF_Price,5,FALSE),IF($G32=TransportationLists!$O$6,VLOOKUP($E32,TRSF_Price,7,FALSE),IF($G32=TransportationLists!$O$7,VLOOKUP($E32,TRSF_Price,9,FALSE),IF($G32=TransportationLists!$O$8,VLOOKUP($E32,TRSF_Price,11,FALSE)))))),)</f>
        <v>0</v>
      </c>
      <c r="L32" s="47"/>
      <c r="M32" s="38" t="b">
        <f>IFERROR(IF($G32=TransportationLists!$O$4,VLOOKUP($E32,TRSF_Price,12,FALSE),IF($G32=TransportationLists!$O$5,VLOOKUP($E32,TRSF_Price,12,FALSE),IF($G32=TransportationLists!$O$6,VLOOKUP($E32,TRSF_Price,12,FALSE),IF($G32=TransportationLists!$O$7,VLOOKUP($E32,TRSF_Price,12,FALSE),IF($G32=TransportationLists!$O$8,VLOOKUP($E32,TRSF_Price,12,FALSE)))))),0)</f>
        <v>0</v>
      </c>
      <c r="N32" s="53"/>
      <c r="O32" s="39"/>
      <c r="P32" s="53"/>
      <c r="Q32" s="38">
        <f>IFERROR(($I32+$K32+$M32)*$O32,0)</f>
        <v>0</v>
      </c>
      <c r="R32" s="53"/>
      <c r="S32" s="38">
        <f>IFERROR($Q32/$E$1,0)</f>
        <v>0</v>
      </c>
      <c r="T32" s="47"/>
      <c r="U32" s="40">
        <f>IFERROR($S32/$E$3,0)</f>
        <v>0</v>
      </c>
      <c r="V32" s="47"/>
      <c r="W32" s="57"/>
      <c r="X32" s="65"/>
      <c r="Y32" s="65"/>
      <c r="Z32" s="58" t="s">
        <v>315</v>
      </c>
      <c r="AA32" s="37"/>
      <c r="AC32" s="37"/>
      <c r="AE32" s="41">
        <f>IFERROR(VLOOKUP($AC32,SightseeingLists!$C$3:$E$121,2,FALSE),0)</f>
        <v>0</v>
      </c>
      <c r="AG32" s="37"/>
      <c r="AI32" s="37"/>
      <c r="AK32" s="37"/>
      <c r="AM32" s="37"/>
      <c r="AO32" s="37"/>
      <c r="AQ32" s="37"/>
      <c r="AS32" s="37"/>
      <c r="AU32" s="37">
        <f>SUM(AE32,AO32,AQ32)</f>
        <v>0</v>
      </c>
      <c r="AW32" s="37">
        <f>SUM($AG32,$AI32,$AK32,$AM32,$AS32)/$E$1</f>
        <v>0</v>
      </c>
      <c r="AY32" s="37">
        <f>SUM($AU32,$AW32)</f>
        <v>0</v>
      </c>
      <c r="BA32" s="40">
        <f>IFERROR($AY32/$E$3,0)</f>
        <v>0</v>
      </c>
      <c r="BB32" s="47"/>
    </row>
    <row r="33" spans="2:54" ht="4.5" customHeight="1" x14ac:dyDescent="0.3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53"/>
      <c r="O33" s="47"/>
      <c r="P33" s="47"/>
      <c r="Q33" s="47"/>
      <c r="R33" s="47"/>
      <c r="S33" s="47"/>
      <c r="T33" s="47"/>
      <c r="U33" s="47"/>
      <c r="V33" s="47"/>
      <c r="Y33" s="47"/>
      <c r="BB33" s="47"/>
    </row>
    <row r="34" spans="2:54" x14ac:dyDescent="0.3">
      <c r="B34" s="58" t="s">
        <v>315</v>
      </c>
      <c r="C34" s="37"/>
      <c r="D34" s="47"/>
      <c r="E34" s="41"/>
      <c r="F34" s="47"/>
      <c r="G34" s="39"/>
      <c r="H34" s="47"/>
      <c r="I34" s="38" t="b">
        <f>IFERROR(IF($G34=TransportationLists!$O$4,VLOOKUP($E34,TRSF_Price,2,FALSE),IF($G34=TransportationLists!$O$5,VLOOKUP($E34,TRSF_Price,4,FALSE),IF($G34=TransportationLists!$O$6,VLOOKUP($E34,TRSF_Price,6,FALSE),IF($G34=TransportationLists!$O$7,VLOOKUP($E34,TRSF_Price,8,FALSE),IF($G34=TransportationLists!$O$8,VLOOKUP($E34,TRSF_Price,10,FALSE)))))),0)</f>
        <v>0</v>
      </c>
      <c r="J34" s="47"/>
      <c r="K34" s="38" t="b">
        <f>IFERROR(IF($G34=TransportationLists!$O$4,VLOOKUP($E34,TRSF_Price,3,FALSE),IF($G34=TransportationLists!$O$5,VLOOKUP($E34,TRSF_Price,5,FALSE),IF($G34=TransportationLists!$O$6,VLOOKUP($E34,TRSF_Price,7,FALSE),IF($G34=TransportationLists!$O$7,VLOOKUP($E34,TRSF_Price,9,FALSE),IF($G34=TransportationLists!$O$8,VLOOKUP($E34,TRSF_Price,11,FALSE)))))),)</f>
        <v>0</v>
      </c>
      <c r="L34" s="47"/>
      <c r="M34" s="38" t="b">
        <f>IFERROR(IF($G34=TransportationLists!$O$4,VLOOKUP($E34,TRSF_Price,12,FALSE),IF($G34=TransportationLists!$O$5,VLOOKUP($E34,TRSF_Price,12,FALSE),IF($G34=TransportationLists!$O$6,VLOOKUP($E34,TRSF_Price,12,FALSE),IF($G34=TransportationLists!$O$7,VLOOKUP($E34,TRSF_Price,12,FALSE),IF($G34=TransportationLists!$O$8,VLOOKUP($E34,TRSF_Price,12,FALSE)))))),0)</f>
        <v>0</v>
      </c>
      <c r="N34" s="53"/>
      <c r="O34" s="39"/>
      <c r="P34" s="53"/>
      <c r="Q34" s="38">
        <f>IFERROR(($I34+$K34+$M34)*$O34,0)</f>
        <v>0</v>
      </c>
      <c r="R34" s="53"/>
      <c r="S34" s="38">
        <f>IFERROR($Q34/$E$1,0)</f>
        <v>0</v>
      </c>
      <c r="T34" s="47"/>
      <c r="U34" s="40">
        <f>IFERROR($S34/$E$3,0)</f>
        <v>0</v>
      </c>
      <c r="V34" s="47"/>
      <c r="W34" s="57"/>
      <c r="X34" s="65"/>
      <c r="Y34" s="65"/>
      <c r="Z34" s="58" t="s">
        <v>315</v>
      </c>
      <c r="AA34" s="37"/>
      <c r="AC34" s="37"/>
      <c r="AE34" s="41">
        <f>IFERROR(VLOOKUP($AC34,SightseeingLists!$C$3:$E$121,2,FALSE),0)</f>
        <v>0</v>
      </c>
      <c r="AG34" s="37"/>
      <c r="AI34" s="37"/>
      <c r="AK34" s="37"/>
      <c r="AM34" s="37"/>
      <c r="AO34" s="37"/>
      <c r="AQ34" s="37"/>
      <c r="AS34" s="37"/>
      <c r="AU34" s="37">
        <f>SUM(AE34,AO34,AQ34)</f>
        <v>0</v>
      </c>
      <c r="AW34" s="37">
        <f>SUM($AG34,$AI34,$AK34,$AM34,$AS34)/$E$1</f>
        <v>0</v>
      </c>
      <c r="AY34" s="37">
        <f>SUM($AU34,$AW34)</f>
        <v>0</v>
      </c>
      <c r="BA34" s="40">
        <f>IFERROR($AY34/$E$3,0)</f>
        <v>0</v>
      </c>
      <c r="BB34" s="47"/>
    </row>
    <row r="35" spans="2:54" ht="4.5" customHeight="1" x14ac:dyDescent="0.3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53"/>
      <c r="O35" s="47"/>
      <c r="P35" s="47"/>
      <c r="Q35" s="47"/>
      <c r="R35" s="47"/>
      <c r="S35" s="47"/>
      <c r="T35" s="47"/>
      <c r="U35" s="47"/>
      <c r="V35" s="47"/>
      <c r="Y35" s="47"/>
      <c r="BB35" s="47"/>
    </row>
    <row r="36" spans="2:54" x14ac:dyDescent="0.3">
      <c r="B36" s="58" t="s">
        <v>315</v>
      </c>
      <c r="C36" s="37"/>
      <c r="D36" s="47"/>
      <c r="E36" s="41"/>
      <c r="F36" s="47"/>
      <c r="G36" s="39"/>
      <c r="H36" s="47"/>
      <c r="I36" s="38" t="b">
        <f>IFERROR(IF($G36=TransportationLists!$O$4,VLOOKUP($E36,TRSF_Price,2,FALSE),IF($G36=TransportationLists!$O$5,VLOOKUP($E36,TRSF_Price,4,FALSE),IF($G36=TransportationLists!$O$6,VLOOKUP($E36,TRSF_Price,6,FALSE),IF($G36=TransportationLists!$O$7,VLOOKUP($E36,TRSF_Price,8,FALSE),IF($G36=TransportationLists!$O$8,VLOOKUP($E36,TRSF_Price,10,FALSE)))))),0)</f>
        <v>0</v>
      </c>
      <c r="J36" s="47"/>
      <c r="K36" s="38" t="b">
        <f>IFERROR(IF($G36=TransportationLists!$O$4,VLOOKUP($E36,TRSF_Price,3,FALSE),IF($G36=TransportationLists!$O$5,VLOOKUP($E36,TRSF_Price,5,FALSE),IF($G36=TransportationLists!$O$6,VLOOKUP($E36,TRSF_Price,7,FALSE),IF($G36=TransportationLists!$O$7,VLOOKUP($E36,TRSF_Price,9,FALSE),IF($G36=TransportationLists!$O$8,VLOOKUP($E36,TRSF_Price,11,FALSE)))))),)</f>
        <v>0</v>
      </c>
      <c r="L36" s="47"/>
      <c r="M36" s="38" t="b">
        <f>IFERROR(IF($G36=TransportationLists!$O$4,VLOOKUP($E36,TRSF_Price,12,FALSE),IF($G36=TransportationLists!$O$5,VLOOKUP($E36,TRSF_Price,12,FALSE),IF($G36=TransportationLists!$O$6,VLOOKUP($E36,TRSF_Price,12,FALSE),IF($G36=TransportationLists!$O$7,VLOOKUP($E36,TRSF_Price,12,FALSE),IF($G36=TransportationLists!$O$8,VLOOKUP($E36,TRSF_Price,12,FALSE)))))),0)</f>
        <v>0</v>
      </c>
      <c r="N36" s="53"/>
      <c r="O36" s="39"/>
      <c r="P36" s="53"/>
      <c r="Q36" s="38">
        <f>IFERROR(($I36+$K36+$M36)*$O36,0)</f>
        <v>0</v>
      </c>
      <c r="R36" s="53"/>
      <c r="S36" s="38">
        <f>IFERROR($Q36/$E$1,0)</f>
        <v>0</v>
      </c>
      <c r="T36" s="47"/>
      <c r="U36" s="40">
        <f>IFERROR($S36/$E$3,0)</f>
        <v>0</v>
      </c>
      <c r="V36" s="47"/>
      <c r="W36" s="57"/>
      <c r="X36" s="65"/>
      <c r="Y36" s="65"/>
      <c r="Z36" s="58" t="s">
        <v>315</v>
      </c>
      <c r="AA36" s="37"/>
      <c r="AC36" s="37"/>
      <c r="AE36" s="41">
        <f>IFERROR(VLOOKUP($AC36,SightseeingLists!$C$3:$E$121,2,FALSE),0)</f>
        <v>0</v>
      </c>
      <c r="AG36" s="37"/>
      <c r="AI36" s="37"/>
      <c r="AK36" s="37"/>
      <c r="AM36" s="37"/>
      <c r="AO36" s="37"/>
      <c r="AQ36" s="37"/>
      <c r="AS36" s="37"/>
      <c r="AU36" s="37">
        <f>SUM(AE36,AO36,AQ36)</f>
        <v>0</v>
      </c>
      <c r="AW36" s="37">
        <f>SUM($AG36,$AI36,$AK36,$AM36,$AS36)/$E$1</f>
        <v>0</v>
      </c>
      <c r="AY36" s="37">
        <f>SUM($AU36,$AW36)</f>
        <v>0</v>
      </c>
      <c r="BA36" s="40">
        <f>IFERROR($AY36/$E$3,0)</f>
        <v>0</v>
      </c>
      <c r="BB36" s="47"/>
    </row>
    <row r="37" spans="2:54" ht="4.5" customHeight="1" x14ac:dyDescent="0.3"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53"/>
      <c r="O37" s="47"/>
      <c r="P37" s="47"/>
      <c r="Q37" s="47"/>
      <c r="R37" s="47"/>
      <c r="S37" s="47"/>
      <c r="T37" s="47"/>
      <c r="U37" s="47"/>
      <c r="V37" s="47"/>
      <c r="Y37" s="47"/>
      <c r="BB37" s="47"/>
    </row>
    <row r="38" spans="2:54" x14ac:dyDescent="0.3">
      <c r="B38" s="58" t="s">
        <v>315</v>
      </c>
      <c r="C38" s="37"/>
      <c r="D38" s="47"/>
      <c r="E38" s="41"/>
      <c r="F38" s="47"/>
      <c r="G38" s="39"/>
      <c r="H38" s="47"/>
      <c r="I38" s="38" t="b">
        <f>IFERROR(IF($G38=TransportationLists!$O$4,VLOOKUP($E38,TRSF_Price,2,FALSE),IF($G38=TransportationLists!$O$5,VLOOKUP($E38,TRSF_Price,4,FALSE),IF($G38=TransportationLists!$O$6,VLOOKUP($E38,TRSF_Price,6,FALSE),IF($G38=TransportationLists!$O$7,VLOOKUP($E38,TRSF_Price,8,FALSE),IF($G38=TransportationLists!$O$8,VLOOKUP($E38,TRSF_Price,10,FALSE)))))),0)</f>
        <v>0</v>
      </c>
      <c r="J38" s="47"/>
      <c r="K38" s="38" t="b">
        <f>IFERROR(IF($G38=TransportationLists!$O$4,VLOOKUP($E38,TRSF_Price,3,FALSE),IF($G38=TransportationLists!$O$5,VLOOKUP($E38,TRSF_Price,5,FALSE),IF($G38=TransportationLists!$O$6,VLOOKUP($E38,TRSF_Price,7,FALSE),IF($G38=TransportationLists!$O$7,VLOOKUP($E38,TRSF_Price,9,FALSE),IF($G38=TransportationLists!$O$8,VLOOKUP($E38,TRSF_Price,11,FALSE)))))),)</f>
        <v>0</v>
      </c>
      <c r="L38" s="47"/>
      <c r="M38" s="38" t="b">
        <f>IFERROR(IF($G38=TransportationLists!$O$4,VLOOKUP($E38,TRSF_Price,12,FALSE),IF($G38=TransportationLists!$O$5,VLOOKUP($E38,TRSF_Price,12,FALSE),IF($G38=TransportationLists!$O$6,VLOOKUP($E38,TRSF_Price,12,FALSE),IF($G38=TransportationLists!$O$7,VLOOKUP($E38,TRSF_Price,12,FALSE),IF($G38=TransportationLists!$O$8,VLOOKUP($E38,TRSF_Price,12,FALSE)))))),0)</f>
        <v>0</v>
      </c>
      <c r="N38" s="53"/>
      <c r="O38" s="39"/>
      <c r="P38" s="53"/>
      <c r="Q38" s="38">
        <f>IFERROR(($I38+$K38+$M38)*$O38,0)</f>
        <v>0</v>
      </c>
      <c r="R38" s="53"/>
      <c r="S38" s="38">
        <f>IFERROR($Q38/$E$1,0)</f>
        <v>0</v>
      </c>
      <c r="T38" s="47"/>
      <c r="U38" s="40">
        <f>IFERROR($S38/$E$3,0)</f>
        <v>0</v>
      </c>
      <c r="V38" s="47"/>
      <c r="W38" s="57"/>
      <c r="X38" s="65"/>
      <c r="Y38" s="65"/>
      <c r="Z38" s="58" t="s">
        <v>315</v>
      </c>
      <c r="AA38" s="37"/>
      <c r="AC38" s="37"/>
      <c r="AE38" s="41">
        <f>IFERROR(VLOOKUP($AC38,SightseeingLists!$C$3:$E$121,2,FALSE),0)</f>
        <v>0</v>
      </c>
      <c r="AG38" s="37"/>
      <c r="AI38" s="37"/>
      <c r="AK38" s="37"/>
      <c r="AM38" s="37"/>
      <c r="AO38" s="37"/>
      <c r="AQ38" s="37"/>
      <c r="AS38" s="37"/>
      <c r="AU38" s="37">
        <f>SUM(AE38,AO38,AQ38)</f>
        <v>0</v>
      </c>
      <c r="AW38" s="37">
        <f>SUM($AG38,$AI38,$AK38,$AM38,$AS38)/$E$1</f>
        <v>0</v>
      </c>
      <c r="AY38" s="37">
        <f>SUM($AU38,$AW38)</f>
        <v>0</v>
      </c>
      <c r="BA38" s="40">
        <f>IFERROR($AY38/$E$3,0)</f>
        <v>0</v>
      </c>
      <c r="BB38" s="47"/>
    </row>
    <row r="39" spans="2:54" ht="4.5" customHeight="1" x14ac:dyDescent="0.3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53"/>
      <c r="O39" s="47"/>
      <c r="P39" s="47"/>
      <c r="Q39" s="47"/>
      <c r="R39" s="47"/>
      <c r="S39" s="47"/>
      <c r="T39" s="47"/>
      <c r="U39" s="47"/>
      <c r="V39" s="47"/>
      <c r="Y39" s="47"/>
      <c r="BB39" s="47"/>
    </row>
    <row r="40" spans="2:54" x14ac:dyDescent="0.3">
      <c r="B40" s="58" t="s">
        <v>315</v>
      </c>
      <c r="C40" s="37"/>
      <c r="D40" s="47"/>
      <c r="E40" s="41"/>
      <c r="F40" s="47"/>
      <c r="G40" s="39"/>
      <c r="H40" s="47"/>
      <c r="I40" s="38" t="b">
        <f>IFERROR(IF($G40=TransportationLists!$O$4,VLOOKUP($E40,TRSF_Price,2,FALSE),IF($G40=TransportationLists!$O$5,VLOOKUP($E40,TRSF_Price,4,FALSE),IF($G40=TransportationLists!$O$6,VLOOKUP($E40,TRSF_Price,6,FALSE),IF($G40=TransportationLists!$O$7,VLOOKUP($E40,TRSF_Price,8,FALSE),IF($G40=TransportationLists!$O$8,VLOOKUP($E40,TRSF_Price,10,FALSE)))))),0)</f>
        <v>0</v>
      </c>
      <c r="J40" s="47"/>
      <c r="K40" s="38" t="b">
        <f>IFERROR(IF($G40=TransportationLists!$O$4,VLOOKUP($E40,TRSF_Price,3,FALSE),IF($G40=TransportationLists!$O$5,VLOOKUP($E40,TRSF_Price,5,FALSE),IF($G40=TransportationLists!$O$6,VLOOKUP($E40,TRSF_Price,7,FALSE),IF($G40=TransportationLists!$O$7,VLOOKUP($E40,TRSF_Price,9,FALSE),IF($G40=TransportationLists!$O$8,VLOOKUP($E40,TRSF_Price,11,FALSE)))))),)</f>
        <v>0</v>
      </c>
      <c r="L40" s="47"/>
      <c r="M40" s="38" t="b">
        <f>IFERROR(IF($G40=TransportationLists!$O$4,VLOOKUP($E40,TRSF_Price,12,FALSE),IF($G40=TransportationLists!$O$5,VLOOKUP($E40,TRSF_Price,12,FALSE),IF($G40=TransportationLists!$O$6,VLOOKUP($E40,TRSF_Price,12,FALSE),IF($G40=TransportationLists!$O$7,VLOOKUP($E40,TRSF_Price,12,FALSE),IF($G40=TransportationLists!$O$8,VLOOKUP($E40,TRSF_Price,12,FALSE)))))),0)</f>
        <v>0</v>
      </c>
      <c r="N40" s="53"/>
      <c r="O40" s="39"/>
      <c r="P40" s="53"/>
      <c r="Q40" s="38">
        <f>IFERROR(($I40+$K40+$M40)*$O40,0)</f>
        <v>0</v>
      </c>
      <c r="R40" s="53"/>
      <c r="S40" s="38">
        <f>IFERROR($Q40/$E$1,0)</f>
        <v>0</v>
      </c>
      <c r="T40" s="47"/>
      <c r="U40" s="40">
        <f>IFERROR($S40/$E$3,0)</f>
        <v>0</v>
      </c>
      <c r="V40" s="47"/>
      <c r="W40" s="57"/>
      <c r="X40" s="65"/>
      <c r="Y40" s="65"/>
      <c r="Z40" s="58" t="s">
        <v>315</v>
      </c>
      <c r="AA40" s="37"/>
      <c r="AC40" s="37"/>
      <c r="AE40" s="41">
        <f>IFERROR(VLOOKUP($AC40,SightseeingLists!$C$3:$E$121,2,FALSE),0)</f>
        <v>0</v>
      </c>
      <c r="AG40" s="37"/>
      <c r="AI40" s="37"/>
      <c r="AK40" s="37"/>
      <c r="AM40" s="37"/>
      <c r="AO40" s="37"/>
      <c r="AQ40" s="37"/>
      <c r="AS40" s="37"/>
      <c r="AU40" s="37">
        <f>SUM(AE40,AO40,AQ40)</f>
        <v>0</v>
      </c>
      <c r="AW40" s="37">
        <f>SUM($AG40,$AI40,$AK40,$AM40,$AS40)/$E$1</f>
        <v>0</v>
      </c>
      <c r="AY40" s="37">
        <f>SUM($AU40,$AW40)</f>
        <v>0</v>
      </c>
      <c r="BA40" s="40">
        <f>IFERROR($AY40/$E$3,0)</f>
        <v>0</v>
      </c>
      <c r="BB40" s="47"/>
    </row>
    <row r="41" spans="2:54" ht="4.5" customHeight="1" x14ac:dyDescent="0.3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53"/>
      <c r="O41" s="47"/>
      <c r="P41" s="47"/>
      <c r="Q41" s="47"/>
      <c r="R41" s="47"/>
      <c r="S41" s="47"/>
      <c r="T41" s="47"/>
      <c r="U41" s="47"/>
      <c r="V41" s="47"/>
      <c r="Y41" s="47"/>
      <c r="BB41" s="47"/>
    </row>
    <row r="42" spans="2:54" s="36" customFormat="1" ht="4.5" customHeight="1" x14ac:dyDescent="0.3"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</row>
    <row r="43" spans="2:54" ht="4.5" customHeight="1" x14ac:dyDescent="0.3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53"/>
      <c r="O43" s="47"/>
      <c r="P43" s="47"/>
      <c r="Q43" s="47"/>
      <c r="R43" s="47"/>
      <c r="S43" s="47"/>
      <c r="T43" s="47"/>
      <c r="U43" s="47"/>
      <c r="V43" s="47"/>
      <c r="Y43" s="47"/>
      <c r="BB43" s="47"/>
    </row>
    <row r="44" spans="2:54" x14ac:dyDescent="0.3">
      <c r="B44" s="70" t="s">
        <v>334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47"/>
      <c r="Y44" s="47"/>
      <c r="Z44" s="58" t="s">
        <v>315</v>
      </c>
      <c r="AA44" s="37"/>
      <c r="AC44" s="37"/>
      <c r="AE44" s="41">
        <f>IFERROR(VLOOKUP($AC44,SightseeingLists!$C$3:$E$121,2,FALSE),0)</f>
        <v>0</v>
      </c>
      <c r="AG44" s="37"/>
      <c r="AI44" s="37"/>
      <c r="AK44" s="37"/>
      <c r="AM44" s="37"/>
      <c r="AO44" s="37"/>
      <c r="AQ44" s="37"/>
      <c r="AS44" s="37"/>
      <c r="AU44" s="37">
        <f>SUM(AE44,AO44,AQ44)</f>
        <v>0</v>
      </c>
      <c r="AW44" s="37">
        <f>SUM($AG44,$AI44,$AK44,$AM44,$AS44)/$E$1</f>
        <v>0</v>
      </c>
      <c r="AY44" s="37">
        <f>SUM($AU44,$AW44)</f>
        <v>0</v>
      </c>
      <c r="BA44" s="40">
        <f>IFERROR($AY44/$E$3,0)</f>
        <v>0</v>
      </c>
      <c r="BB44" s="47"/>
    </row>
    <row r="45" spans="2:54" x14ac:dyDescent="0.3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8" t="s">
        <v>307</v>
      </c>
      <c r="V45" s="47"/>
      <c r="Y45" s="47"/>
      <c r="Z45" s="58" t="s">
        <v>315</v>
      </c>
      <c r="AA45" s="37"/>
      <c r="AC45" s="37"/>
      <c r="AE45" s="41">
        <f>IFERROR(VLOOKUP($AC45,SightseeingLists!$C$3:$E$121,2,FALSE),0)</f>
        <v>0</v>
      </c>
      <c r="AG45" s="37"/>
      <c r="AI45" s="37"/>
      <c r="AK45" s="37"/>
      <c r="AM45" s="37"/>
      <c r="AO45" s="37"/>
      <c r="AQ45" s="37"/>
      <c r="AS45" s="37"/>
      <c r="AU45" s="37">
        <f>SUM(AE45,AO45,AQ45)</f>
        <v>0</v>
      </c>
      <c r="AW45" s="37">
        <f>SUM($AG45,$AI45,$AK45,$AM45,$AS45)/$E$1</f>
        <v>0</v>
      </c>
      <c r="AY45" s="37">
        <f>SUM($AU45,$AW45)</f>
        <v>0</v>
      </c>
      <c r="BA45" s="40">
        <f>IFERROR($AY45/$E$3,0)</f>
        <v>0</v>
      </c>
      <c r="BB45" s="47"/>
    </row>
    <row r="46" spans="2:54" ht="4.5" customHeight="1" x14ac:dyDescent="0.3">
      <c r="B46" s="47"/>
      <c r="C46" s="47"/>
      <c r="D46" s="47"/>
      <c r="E46" s="49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50"/>
      <c r="V46" s="47"/>
      <c r="Y46" s="47"/>
      <c r="BB46" s="47"/>
    </row>
    <row r="47" spans="2:54" x14ac:dyDescent="0.3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51"/>
      <c r="U47" s="55">
        <f>IFERROR(SUM($U51:$U71),0)</f>
        <v>0</v>
      </c>
      <c r="V47" s="47"/>
      <c r="Y47" s="47"/>
      <c r="Z47" s="58" t="s">
        <v>315</v>
      </c>
      <c r="AA47" s="37"/>
      <c r="AC47" s="37"/>
      <c r="AE47" s="41">
        <f>IFERROR(VLOOKUP($AC47,SightseeingLists!$C$3:$E$121,2,FALSE),0)</f>
        <v>0</v>
      </c>
      <c r="AG47" s="37"/>
      <c r="AI47" s="37"/>
      <c r="AK47" s="37"/>
      <c r="AM47" s="37"/>
      <c r="AO47" s="37"/>
      <c r="AQ47" s="37"/>
      <c r="AS47" s="37"/>
      <c r="AU47" s="37">
        <f>SUM(AE47,AO47,AQ47)</f>
        <v>0</v>
      </c>
      <c r="AW47" s="37">
        <f>SUM($AG47,$AI47,$AK47,$AM47,$AS47)/$E$1</f>
        <v>0</v>
      </c>
      <c r="AY47" s="37">
        <f>SUM($AU47,$AW47)</f>
        <v>0</v>
      </c>
      <c r="BA47" s="40">
        <f>IFERROR($AY47/$E$3,0)</f>
        <v>0</v>
      </c>
      <c r="BB47" s="47"/>
    </row>
    <row r="48" spans="2:54" ht="4.5" customHeight="1" x14ac:dyDescent="0.3">
      <c r="B48" s="47"/>
      <c r="C48" s="47"/>
      <c r="D48" s="47"/>
      <c r="E48" s="49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Y48" s="47"/>
      <c r="BB48" s="47"/>
    </row>
    <row r="49" spans="2:54" x14ac:dyDescent="0.3">
      <c r="B49" s="47"/>
      <c r="C49" s="42" t="s">
        <v>346</v>
      </c>
      <c r="D49" s="47"/>
      <c r="E49" s="42" t="s">
        <v>335</v>
      </c>
      <c r="F49" s="47"/>
      <c r="G49" s="42" t="s">
        <v>338</v>
      </c>
      <c r="H49" s="47"/>
      <c r="I49" s="42" t="s">
        <v>339</v>
      </c>
      <c r="J49" s="47"/>
      <c r="K49" s="42" t="s">
        <v>340</v>
      </c>
      <c r="L49" s="47"/>
      <c r="M49" s="42" t="s">
        <v>337</v>
      </c>
      <c r="N49" s="47"/>
      <c r="O49" s="42" t="s">
        <v>336</v>
      </c>
      <c r="P49" s="47"/>
      <c r="Q49" s="42" t="s">
        <v>341</v>
      </c>
      <c r="R49" s="47"/>
      <c r="S49" s="42" t="s">
        <v>342</v>
      </c>
      <c r="T49" s="47"/>
      <c r="U49" s="42"/>
      <c r="V49" s="47"/>
      <c r="Y49" s="47"/>
      <c r="Z49" s="58" t="s">
        <v>315</v>
      </c>
      <c r="AA49" s="37"/>
      <c r="AC49" s="37"/>
      <c r="AE49" s="41">
        <f>IFERROR(VLOOKUP($AC49,SightseeingLists!$C$3:$E$121,2,FALSE),0)</f>
        <v>0</v>
      </c>
      <c r="AG49" s="37"/>
      <c r="AI49" s="37"/>
      <c r="AK49" s="37"/>
      <c r="AM49" s="37"/>
      <c r="AO49" s="37"/>
      <c r="AQ49" s="37"/>
      <c r="AS49" s="37"/>
      <c r="AU49" s="37">
        <f>SUM(AE49,AO49,AQ49)</f>
        <v>0</v>
      </c>
      <c r="AW49" s="37">
        <f>SUM($AG49,$AI49,$AK49,$AM49,$AS49)/$E$1</f>
        <v>0</v>
      </c>
      <c r="AY49" s="37">
        <f>SUM($AU49,$AW49)</f>
        <v>0</v>
      </c>
      <c r="BA49" s="40">
        <f>IFERROR($AY49/$E$3,0)</f>
        <v>0</v>
      </c>
      <c r="BB49" s="47"/>
    </row>
    <row r="50" spans="2:54" ht="4.5" customHeight="1" x14ac:dyDescent="0.3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Y50" s="47"/>
      <c r="BB50" s="47"/>
    </row>
    <row r="51" spans="2:54" x14ac:dyDescent="0.3">
      <c r="B51" s="47"/>
      <c r="C51" s="37"/>
      <c r="D51" s="63">
        <f>IFERROR(IF(C51="DBL",2,IF(C51="SGL",1,IF(C51="TPL",3,0))),0)</f>
        <v>0</v>
      </c>
      <c r="E51" s="62"/>
      <c r="F51" s="47"/>
      <c r="G51" s="59"/>
      <c r="H51" s="47"/>
      <c r="I51" s="59"/>
      <c r="J51" s="47"/>
      <c r="K51" s="39">
        <f>IFERROR(I51-G51,0)</f>
        <v>0</v>
      </c>
      <c r="L51" s="47"/>
      <c r="M51" s="61"/>
      <c r="N51" s="47"/>
      <c r="O51" s="41"/>
      <c r="P51" s="47"/>
      <c r="Q51" s="60">
        <f>IFERROR(K51*M51*O51,0)</f>
        <v>0</v>
      </c>
      <c r="R51" s="47"/>
      <c r="S51" s="60">
        <f>IFERROR(Q51/1.14,0)</f>
        <v>0</v>
      </c>
      <c r="T51" s="47"/>
      <c r="U51" s="60">
        <f>IFERROR((S51/D51),0)</f>
        <v>0</v>
      </c>
      <c r="V51" s="47"/>
      <c r="Y51" s="47"/>
      <c r="Z51" s="58" t="s">
        <v>315</v>
      </c>
      <c r="AA51" s="37"/>
      <c r="AC51" s="37"/>
      <c r="AE51" s="41">
        <f>IFERROR(VLOOKUP($AC51,SightseeingLists!$C$3:$E$121,2,FALSE),0)</f>
        <v>0</v>
      </c>
      <c r="AG51" s="37"/>
      <c r="AI51" s="37"/>
      <c r="AK51" s="37"/>
      <c r="AM51" s="37"/>
      <c r="AO51" s="37"/>
      <c r="AQ51" s="37"/>
      <c r="AS51" s="37"/>
      <c r="AU51" s="37">
        <f>SUM(AE51,AO51,AQ51)</f>
        <v>0</v>
      </c>
      <c r="AW51" s="37">
        <f>SUM($AG51,$AI51,$AK51,$AM51,$AS51)/$E$1</f>
        <v>0</v>
      </c>
      <c r="AY51" s="37">
        <f>SUM($AU51,$AW51)</f>
        <v>0</v>
      </c>
      <c r="BA51" s="40">
        <f>IFERROR($AY51/$E$3,0)</f>
        <v>0</v>
      </c>
      <c r="BB51" s="47"/>
    </row>
    <row r="52" spans="2:54" ht="4.5" customHeight="1" x14ac:dyDescent="0.3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Y52" s="47"/>
      <c r="BB52" s="47"/>
    </row>
    <row r="53" spans="2:54" x14ac:dyDescent="0.3">
      <c r="B53" s="47"/>
      <c r="C53" s="37"/>
      <c r="D53" s="63">
        <f>IFERROR(IF(C53="DBL",2,IF(C53="SGL",1,IF(C53="TPL",3,0))),0)</f>
        <v>0</v>
      </c>
      <c r="E53" s="62"/>
      <c r="F53" s="47"/>
      <c r="G53" s="59"/>
      <c r="H53" s="47"/>
      <c r="I53" s="59"/>
      <c r="J53" s="47"/>
      <c r="K53" s="39">
        <f>IFERROR(I53-G53,0)</f>
        <v>0</v>
      </c>
      <c r="L53" s="47"/>
      <c r="M53" s="61"/>
      <c r="N53" s="47"/>
      <c r="O53" s="41"/>
      <c r="P53" s="47"/>
      <c r="Q53" s="60">
        <f>IFERROR(K53*M53*O53,0)</f>
        <v>0</v>
      </c>
      <c r="R53" s="47"/>
      <c r="S53" s="60">
        <f>IFERROR(Q53/1.14,0)</f>
        <v>0</v>
      </c>
      <c r="T53" s="47"/>
      <c r="U53" s="60">
        <f>IFERROR((S53/D53),0)</f>
        <v>0</v>
      </c>
      <c r="V53" s="47"/>
      <c r="Y53" s="47"/>
      <c r="Z53" s="58" t="s">
        <v>315</v>
      </c>
      <c r="AA53" s="37"/>
      <c r="AC53" s="37"/>
      <c r="AE53" s="41">
        <f>IFERROR(VLOOKUP($AC53,SightseeingLists!$C$3:$E$121,2,FALSE),0)</f>
        <v>0</v>
      </c>
      <c r="AG53" s="37"/>
      <c r="AI53" s="37"/>
      <c r="AK53" s="37"/>
      <c r="AM53" s="37"/>
      <c r="AO53" s="37"/>
      <c r="AQ53" s="37"/>
      <c r="AS53" s="37"/>
      <c r="AU53" s="37">
        <f>SUM(AE53,AO53,AQ53)</f>
        <v>0</v>
      </c>
      <c r="AW53" s="37">
        <f>SUM($AG53,$AI53,$AK53,$AM53,$AS53)/$E$1</f>
        <v>0</v>
      </c>
      <c r="AY53" s="37">
        <f>SUM($AU53,$AW53)</f>
        <v>0</v>
      </c>
      <c r="BA53" s="40">
        <f>IFERROR($AY53/$E$3,0)</f>
        <v>0</v>
      </c>
      <c r="BB53" s="47"/>
    </row>
    <row r="54" spans="2:54" ht="4.5" customHeight="1" x14ac:dyDescent="0.3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Y54" s="47"/>
      <c r="BB54" s="47"/>
    </row>
    <row r="55" spans="2:54" x14ac:dyDescent="0.3">
      <c r="B55" s="47"/>
      <c r="C55" s="37"/>
      <c r="D55" s="63">
        <f>IFERROR(IF(C55="DBL",2,IF(C55="SGL",1,IF(C55="TPL",3,0))),0)</f>
        <v>0</v>
      </c>
      <c r="E55" s="62"/>
      <c r="F55" s="47"/>
      <c r="G55" s="59"/>
      <c r="H55" s="47"/>
      <c r="I55" s="59"/>
      <c r="J55" s="47"/>
      <c r="K55" s="39">
        <f>IFERROR(I55-G55,0)</f>
        <v>0</v>
      </c>
      <c r="L55" s="47"/>
      <c r="M55" s="61"/>
      <c r="N55" s="47"/>
      <c r="O55" s="41"/>
      <c r="P55" s="47"/>
      <c r="Q55" s="60">
        <f>IFERROR(K55*M55*O55,0)</f>
        <v>0</v>
      </c>
      <c r="R55" s="47"/>
      <c r="S55" s="60">
        <f>IFERROR(Q55/1.14,0)</f>
        <v>0</v>
      </c>
      <c r="T55" s="47"/>
      <c r="U55" s="60">
        <f>IFERROR((S55/D55),0)</f>
        <v>0</v>
      </c>
      <c r="V55" s="47"/>
      <c r="Y55" s="47"/>
      <c r="Z55" s="58" t="s">
        <v>315</v>
      </c>
      <c r="AA55" s="37"/>
      <c r="AC55" s="37"/>
      <c r="AE55" s="41">
        <f>IFERROR(VLOOKUP($AC55,SightseeingLists!$C$3:$E$121,2,FALSE),0)</f>
        <v>0</v>
      </c>
      <c r="AG55" s="37"/>
      <c r="AI55" s="37"/>
      <c r="AK55" s="37"/>
      <c r="AM55" s="37"/>
      <c r="AO55" s="37"/>
      <c r="AQ55" s="37"/>
      <c r="AS55" s="37"/>
      <c r="AU55" s="37">
        <f>SUM(AE55,AO55,AQ55)</f>
        <v>0</v>
      </c>
      <c r="AW55" s="37">
        <f>SUM($AG55,$AI55,$AK55,$AM55,$AS55)/$E$1</f>
        <v>0</v>
      </c>
      <c r="AY55" s="37">
        <f>SUM($AU55,$AW55)</f>
        <v>0</v>
      </c>
      <c r="BA55" s="40">
        <f>IFERROR($AY55/$E$3,0)</f>
        <v>0</v>
      </c>
      <c r="BB55" s="47"/>
    </row>
    <row r="56" spans="2:54" ht="4.5" customHeight="1" x14ac:dyDescent="0.3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Y56" s="47"/>
      <c r="BB56" s="47"/>
    </row>
    <row r="57" spans="2:54" x14ac:dyDescent="0.3">
      <c r="B57" s="47"/>
      <c r="C57" s="37"/>
      <c r="D57" s="63">
        <f>IFERROR(IF(C57="DBL",2,IF(C57="SGL",1,IF(C57="TPL",3,0))),0)</f>
        <v>0</v>
      </c>
      <c r="E57" s="62"/>
      <c r="F57" s="47"/>
      <c r="G57" s="59"/>
      <c r="H57" s="47"/>
      <c r="I57" s="59"/>
      <c r="J57" s="47"/>
      <c r="K57" s="39">
        <f>IFERROR(I57-G57,0)</f>
        <v>0</v>
      </c>
      <c r="L57" s="47"/>
      <c r="M57" s="61"/>
      <c r="N57" s="47"/>
      <c r="O57" s="41"/>
      <c r="P57" s="47"/>
      <c r="Q57" s="60">
        <f>IFERROR(K57*M57*O57,0)</f>
        <v>0</v>
      </c>
      <c r="R57" s="47"/>
      <c r="S57" s="60">
        <f>IFERROR(Q57/1.14,0)</f>
        <v>0</v>
      </c>
      <c r="T57" s="47"/>
      <c r="U57" s="60">
        <f>IFERROR((S57/D57),0)</f>
        <v>0</v>
      </c>
      <c r="V57" s="47"/>
      <c r="Y57" s="47"/>
      <c r="Z57" s="58" t="s">
        <v>315</v>
      </c>
      <c r="AA57" s="37"/>
      <c r="AC57" s="37"/>
      <c r="AE57" s="41">
        <f>IFERROR(VLOOKUP($AC57,SightseeingLists!$C$3:$E$121,2,FALSE),0)</f>
        <v>0</v>
      </c>
      <c r="AG57" s="37"/>
      <c r="AI57" s="37"/>
      <c r="AK57" s="37"/>
      <c r="AM57" s="37"/>
      <c r="AO57" s="37"/>
      <c r="AQ57" s="37"/>
      <c r="AS57" s="37"/>
      <c r="AU57" s="37">
        <f>SUM(AE57,AO57,AQ57)</f>
        <v>0</v>
      </c>
      <c r="AW57" s="37">
        <f>SUM($AG57,$AI57,$AK57,$AM57,$AS57)/$E$1</f>
        <v>0</v>
      </c>
      <c r="AY57" s="37">
        <f>SUM($AU57,$AW57)</f>
        <v>0</v>
      </c>
      <c r="BA57" s="40">
        <f>IFERROR($AY57/$E$3,0)</f>
        <v>0</v>
      </c>
      <c r="BB57" s="47"/>
    </row>
    <row r="58" spans="2:54" ht="4.5" customHeight="1" x14ac:dyDescent="0.3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Y58" s="47"/>
      <c r="BB58" s="47"/>
    </row>
    <row r="59" spans="2:54" x14ac:dyDescent="0.3">
      <c r="B59" s="47"/>
      <c r="C59" s="37"/>
      <c r="D59" s="63">
        <f>IFERROR(IF(C59="DBL",2,IF(C59="SGL",1,IF(C59="TPL",3,0))),0)</f>
        <v>0</v>
      </c>
      <c r="E59" s="62"/>
      <c r="F59" s="47"/>
      <c r="G59" s="59"/>
      <c r="H59" s="47"/>
      <c r="I59" s="59"/>
      <c r="J59" s="47"/>
      <c r="K59" s="39">
        <f>IFERROR(I59-G59,0)</f>
        <v>0</v>
      </c>
      <c r="L59" s="47"/>
      <c r="M59" s="61"/>
      <c r="N59" s="47"/>
      <c r="O59" s="41"/>
      <c r="P59" s="47"/>
      <c r="Q59" s="60">
        <f>IFERROR(K59*M59*O59,0)</f>
        <v>0</v>
      </c>
      <c r="R59" s="47"/>
      <c r="S59" s="60">
        <f>IFERROR(Q59/1.14,0)</f>
        <v>0</v>
      </c>
      <c r="T59" s="47"/>
      <c r="U59" s="60">
        <f>IFERROR((S59/D59),0)</f>
        <v>0</v>
      </c>
      <c r="V59" s="47"/>
      <c r="Y59" s="47"/>
      <c r="BB59" s="47"/>
    </row>
    <row r="60" spans="2:54" ht="4.5" customHeight="1" x14ac:dyDescent="0.3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Y60" s="47"/>
      <c r="BB60" s="47"/>
    </row>
    <row r="61" spans="2:54" x14ac:dyDescent="0.3">
      <c r="B61" s="47"/>
      <c r="C61" s="37"/>
      <c r="D61" s="63">
        <f>IFERROR(IF(C61="DBL",2,IF(C61="SGL",1,IF(C61="TPL",3,0))),0)</f>
        <v>0</v>
      </c>
      <c r="E61" s="62"/>
      <c r="F61" s="47"/>
      <c r="G61" s="59"/>
      <c r="H61" s="47"/>
      <c r="I61" s="59"/>
      <c r="J61" s="47"/>
      <c r="K61" s="39">
        <f>IFERROR(I61-G61,0)</f>
        <v>0</v>
      </c>
      <c r="L61" s="47"/>
      <c r="M61" s="61"/>
      <c r="N61" s="47"/>
      <c r="O61" s="41"/>
      <c r="P61" s="47"/>
      <c r="Q61" s="60">
        <f>IFERROR(K61*M61*O61,0)</f>
        <v>0</v>
      </c>
      <c r="R61" s="47"/>
      <c r="S61" s="60">
        <f>IFERROR(Q61/1.14,0)</f>
        <v>0</v>
      </c>
      <c r="T61" s="47"/>
      <c r="U61" s="60">
        <f>IFERROR((S61/D61),0)</f>
        <v>0</v>
      </c>
      <c r="V61" s="47"/>
      <c r="Y61" s="47"/>
      <c r="BB61" s="47"/>
    </row>
    <row r="62" spans="2:54" ht="4.5" customHeight="1" x14ac:dyDescent="0.3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Y62" s="47"/>
      <c r="BB62" s="47"/>
    </row>
    <row r="63" spans="2:54" x14ac:dyDescent="0.3">
      <c r="B63" s="47"/>
      <c r="C63" s="37"/>
      <c r="D63" s="63">
        <f>IFERROR(IF(C63="DBL",2,IF(C63="SGL",1,IF(C63="TPL",3,0))),0)</f>
        <v>0</v>
      </c>
      <c r="E63" s="62"/>
      <c r="F63" s="47"/>
      <c r="G63" s="59"/>
      <c r="H63" s="47"/>
      <c r="I63" s="59"/>
      <c r="J63" s="47"/>
      <c r="K63" s="39">
        <f>IFERROR(I63-G63,0)</f>
        <v>0</v>
      </c>
      <c r="L63" s="47"/>
      <c r="M63" s="61"/>
      <c r="N63" s="47"/>
      <c r="O63" s="41"/>
      <c r="P63" s="47"/>
      <c r="Q63" s="60">
        <f>IFERROR(K63*M63*O63,0)</f>
        <v>0</v>
      </c>
      <c r="R63" s="47"/>
      <c r="S63" s="60">
        <f>IFERROR(Q63/1.14,0)</f>
        <v>0</v>
      </c>
      <c r="T63" s="47"/>
      <c r="U63" s="60">
        <f>IFERROR((S63/D63),0)</f>
        <v>0</v>
      </c>
      <c r="V63" s="47"/>
      <c r="Y63" s="47"/>
      <c r="BB63" s="47"/>
    </row>
    <row r="64" spans="2:54" ht="4.5" customHeight="1" x14ac:dyDescent="0.3"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Y64" s="47"/>
      <c r="BB64" s="47"/>
    </row>
    <row r="65" spans="2:54" x14ac:dyDescent="0.3">
      <c r="B65" s="47"/>
      <c r="C65" s="37"/>
      <c r="D65" s="63">
        <f>IFERROR(IF(C65="DBL",2,IF(C65="SGL",1,IF(C65="TPL",3,0))),0)</f>
        <v>0</v>
      </c>
      <c r="E65" s="62"/>
      <c r="F65" s="47"/>
      <c r="G65" s="59"/>
      <c r="H65" s="47"/>
      <c r="I65" s="59"/>
      <c r="J65" s="47"/>
      <c r="K65" s="39">
        <f>IFERROR(I65-G65,0)</f>
        <v>0</v>
      </c>
      <c r="L65" s="47"/>
      <c r="M65" s="61"/>
      <c r="N65" s="47"/>
      <c r="O65" s="41"/>
      <c r="P65" s="47"/>
      <c r="Q65" s="60">
        <f>IFERROR(K65*M65*O65,0)</f>
        <v>0</v>
      </c>
      <c r="R65" s="47"/>
      <c r="S65" s="60">
        <f>IFERROR(Q65/1.14,0)</f>
        <v>0</v>
      </c>
      <c r="T65" s="47"/>
      <c r="U65" s="60">
        <f>IFERROR((S65/D65),0)</f>
        <v>0</v>
      </c>
      <c r="V65" s="47"/>
      <c r="Y65" s="47"/>
      <c r="BB65" s="47"/>
    </row>
    <row r="66" spans="2:54" ht="4.5" customHeight="1" x14ac:dyDescent="0.3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Y66" s="47"/>
      <c r="BB66" s="47"/>
    </row>
    <row r="67" spans="2:54" x14ac:dyDescent="0.3">
      <c r="B67" s="47"/>
      <c r="C67" s="37"/>
      <c r="D67" s="63">
        <f>IFERROR(IF(C67="DBL",2,IF(C67="SGL",1,IF(C67="TPL",3,0))),0)</f>
        <v>0</v>
      </c>
      <c r="E67" s="62"/>
      <c r="F67" s="47"/>
      <c r="G67" s="59"/>
      <c r="H67" s="47"/>
      <c r="I67" s="59"/>
      <c r="J67" s="47"/>
      <c r="K67" s="39">
        <f>IFERROR(I67-G67,0)</f>
        <v>0</v>
      </c>
      <c r="L67" s="47"/>
      <c r="M67" s="61"/>
      <c r="N67" s="47"/>
      <c r="O67" s="41"/>
      <c r="P67" s="47"/>
      <c r="Q67" s="60">
        <f>IFERROR(K67*M67*O67,0)</f>
        <v>0</v>
      </c>
      <c r="R67" s="47"/>
      <c r="S67" s="60">
        <f>IFERROR(Q67/1.14,0)</f>
        <v>0</v>
      </c>
      <c r="T67" s="47"/>
      <c r="U67" s="60">
        <f>IFERROR((S67/D67),0)</f>
        <v>0</v>
      </c>
      <c r="V67" s="47"/>
      <c r="Y67" s="47"/>
      <c r="BB67" s="47"/>
    </row>
    <row r="68" spans="2:54" ht="4.5" customHeight="1" x14ac:dyDescent="0.3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Y68" s="47"/>
      <c r="BB68" s="47"/>
    </row>
    <row r="69" spans="2:54" x14ac:dyDescent="0.3">
      <c r="B69" s="47"/>
      <c r="C69" s="37"/>
      <c r="D69" s="63">
        <f>IFERROR(IF(C69="DBL",2,IF(C69="SGL",1,IF(C69="TPL",3,0))),0)</f>
        <v>0</v>
      </c>
      <c r="E69" s="62"/>
      <c r="F69" s="47"/>
      <c r="G69" s="59"/>
      <c r="H69" s="47"/>
      <c r="I69" s="59"/>
      <c r="J69" s="47"/>
      <c r="K69" s="39">
        <f>IFERROR(I69-G69,0)</f>
        <v>0</v>
      </c>
      <c r="L69" s="47"/>
      <c r="M69" s="61"/>
      <c r="N69" s="47"/>
      <c r="O69" s="41"/>
      <c r="P69" s="47"/>
      <c r="Q69" s="60">
        <f>IFERROR(K69*M69*O69,0)</f>
        <v>0</v>
      </c>
      <c r="R69" s="47"/>
      <c r="S69" s="60">
        <f>IFERROR(Q69/1.14,0)</f>
        <v>0</v>
      </c>
      <c r="T69" s="47"/>
      <c r="U69" s="60">
        <f>IFERROR((S69/D69),0)</f>
        <v>0</v>
      </c>
      <c r="V69" s="47"/>
      <c r="Y69" s="47"/>
      <c r="BB69" s="47"/>
    </row>
    <row r="70" spans="2:54" ht="4.5" customHeight="1" x14ac:dyDescent="0.3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Y70" s="47"/>
      <c r="BB70" s="47"/>
    </row>
    <row r="71" spans="2:54" x14ac:dyDescent="0.3">
      <c r="B71" s="47"/>
      <c r="C71" s="37"/>
      <c r="D71" s="63">
        <f>IFERROR(IF(C71="DBL",2,IF(C71="SGL",1,IF(C71="TPL",3,0))),0)</f>
        <v>0</v>
      </c>
      <c r="E71" s="62"/>
      <c r="F71" s="47"/>
      <c r="G71" s="59"/>
      <c r="H71" s="47"/>
      <c r="I71" s="59"/>
      <c r="J71" s="47"/>
      <c r="K71" s="39">
        <f>IFERROR(I71-G71,0)</f>
        <v>0</v>
      </c>
      <c r="L71" s="47"/>
      <c r="M71" s="61"/>
      <c r="N71" s="47"/>
      <c r="O71" s="41"/>
      <c r="P71" s="47"/>
      <c r="Q71" s="60">
        <f>IFERROR(K71*M71*O71,0)</f>
        <v>0</v>
      </c>
      <c r="R71" s="47"/>
      <c r="S71" s="60">
        <f>IFERROR(Q71/1.14,0)</f>
        <v>0</v>
      </c>
      <c r="T71" s="47"/>
      <c r="U71" s="60">
        <f>IFERROR((S71/D71),0)</f>
        <v>0</v>
      </c>
      <c r="V71" s="47"/>
      <c r="Y71" s="47"/>
      <c r="BB71" s="47"/>
    </row>
    <row r="72" spans="2:54" ht="4.5" customHeight="1" x14ac:dyDescent="0.3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53"/>
      <c r="O72" s="47"/>
      <c r="P72" s="47"/>
      <c r="Q72" s="47"/>
      <c r="R72" s="47"/>
      <c r="S72" s="47"/>
      <c r="T72" s="47"/>
      <c r="U72" s="47"/>
      <c r="V72" s="47"/>
      <c r="Y72" s="47"/>
      <c r="BB72" s="47"/>
    </row>
    <row r="73" spans="2:54" s="36" customFormat="1" ht="4.5" customHeight="1" x14ac:dyDescent="0.3">
      <c r="V73" s="47"/>
      <c r="X73" s="47"/>
      <c r="Y73" s="47"/>
    </row>
    <row r="74" spans="2:54" ht="4.5" customHeight="1" x14ac:dyDescent="0.3"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53"/>
      <c r="O74" s="47"/>
      <c r="P74" s="47"/>
      <c r="Q74" s="47"/>
      <c r="R74" s="47"/>
      <c r="S74" s="47"/>
      <c r="T74" s="47"/>
      <c r="U74" s="47"/>
      <c r="V74" s="47"/>
      <c r="W74" s="47"/>
      <c r="Y74" s="47"/>
      <c r="BB74" s="47"/>
    </row>
    <row r="75" spans="2:54" x14ac:dyDescent="0.3"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Y75" s="47"/>
      <c r="BB75" s="47"/>
    </row>
    <row r="76" spans="2:54" x14ac:dyDescent="0.3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Y76" s="47"/>
      <c r="BB76" s="47"/>
    </row>
    <row r="77" spans="2:54" x14ac:dyDescent="0.3"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Y77" s="47"/>
      <c r="BB77" s="47"/>
    </row>
    <row r="78" spans="2:54" x14ac:dyDescent="0.3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Y78" s="47"/>
      <c r="BB78" s="47"/>
    </row>
    <row r="79" spans="2:54" x14ac:dyDescent="0.3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Y79" s="47"/>
      <c r="BB79" s="47"/>
    </row>
    <row r="80" spans="2:54" x14ac:dyDescent="0.3"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Y80" s="47"/>
      <c r="BB80" s="47"/>
    </row>
    <row r="81" spans="2:54" x14ac:dyDescent="0.3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Y81" s="47"/>
      <c r="BB81" s="47"/>
    </row>
    <row r="82" spans="2:54" x14ac:dyDescent="0.3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Y82" s="47"/>
      <c r="BB82" s="47"/>
    </row>
    <row r="83" spans="2:54" x14ac:dyDescent="0.3"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Y83" s="47"/>
      <c r="BB83" s="47"/>
    </row>
    <row r="84" spans="2:54" x14ac:dyDescent="0.3"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Y84" s="47"/>
      <c r="BB84" s="47"/>
    </row>
    <row r="85" spans="2:54" x14ac:dyDescent="0.3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Y85" s="47"/>
      <c r="BB85" s="47"/>
    </row>
    <row r="86" spans="2:54" x14ac:dyDescent="0.3"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Y86" s="47"/>
      <c r="BB86" s="47"/>
    </row>
    <row r="87" spans="2:54" x14ac:dyDescent="0.3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Y87" s="47"/>
      <c r="BB87" s="47"/>
    </row>
    <row r="88" spans="2:54" x14ac:dyDescent="0.3"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Y88" s="47"/>
      <c r="BB88" s="47"/>
    </row>
    <row r="89" spans="2:54" x14ac:dyDescent="0.3"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Y89" s="47"/>
      <c r="BB89" s="47"/>
    </row>
    <row r="90" spans="2:54" x14ac:dyDescent="0.3"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Y90" s="47"/>
      <c r="BB90" s="47"/>
    </row>
    <row r="91" spans="2:54" x14ac:dyDescent="0.3"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Y91" s="47"/>
      <c r="BB91" s="47"/>
    </row>
    <row r="92" spans="2:54" x14ac:dyDescent="0.3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Y92" s="47"/>
      <c r="BB92" s="47"/>
    </row>
    <row r="93" spans="2:54" x14ac:dyDescent="0.3"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Y93" s="47"/>
      <c r="BB93" s="47"/>
    </row>
    <row r="94" spans="2:54" x14ac:dyDescent="0.3"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Y94" s="47"/>
      <c r="BB94" s="47"/>
    </row>
    <row r="95" spans="2:54" x14ac:dyDescent="0.3"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Y95" s="47"/>
      <c r="BB95" s="47"/>
    </row>
    <row r="96" spans="2:54" x14ac:dyDescent="0.3"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Y96" s="47"/>
      <c r="BB96" s="47"/>
    </row>
    <row r="97" spans="2:54" x14ac:dyDescent="0.3"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Y97" s="47"/>
      <c r="BB97" s="47"/>
    </row>
    <row r="98" spans="2:54" x14ac:dyDescent="0.3"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Y98" s="47"/>
      <c r="BB98" s="47"/>
    </row>
    <row r="99" spans="2:54" x14ac:dyDescent="0.3"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Y99" s="47"/>
      <c r="BB99" s="47"/>
    </row>
    <row r="100" spans="2:54" x14ac:dyDescent="0.3"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Y100" s="47"/>
      <c r="BB100" s="47"/>
    </row>
    <row r="101" spans="2:54" x14ac:dyDescent="0.3"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Y101" s="47"/>
      <c r="BB101" s="47"/>
    </row>
    <row r="102" spans="2:54" x14ac:dyDescent="0.3"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Y102" s="47"/>
      <c r="BB102" s="47"/>
    </row>
    <row r="103" spans="2:54" x14ac:dyDescent="0.3"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Y103" s="47"/>
      <c r="BB103" s="47"/>
    </row>
    <row r="104" spans="2:54" x14ac:dyDescent="0.3"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Y104" s="47"/>
      <c r="BB104" s="47"/>
    </row>
    <row r="105" spans="2:54" x14ac:dyDescent="0.3"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Y105" s="47"/>
      <c r="BB105" s="47"/>
    </row>
    <row r="106" spans="2:54" x14ac:dyDescent="0.3"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Y106" s="47"/>
      <c r="BB106" s="47"/>
    </row>
    <row r="107" spans="2:54" x14ac:dyDescent="0.3"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Y107" s="47"/>
      <c r="BB107" s="47"/>
    </row>
    <row r="108" spans="2:54" x14ac:dyDescent="0.3"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Y108" s="47"/>
      <c r="BB108" s="47"/>
    </row>
    <row r="109" spans="2:54" x14ac:dyDescent="0.3"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Y109" s="47"/>
      <c r="BB109" s="47"/>
    </row>
    <row r="110" spans="2:54" x14ac:dyDescent="0.3"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Y110" s="47"/>
      <c r="BB110" s="47"/>
    </row>
    <row r="111" spans="2:54" x14ac:dyDescent="0.3"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Y111" s="47"/>
      <c r="BB111" s="47"/>
    </row>
    <row r="112" spans="2:54" x14ac:dyDescent="0.3"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Y112" s="47"/>
      <c r="BB112" s="47"/>
    </row>
    <row r="113" spans="2:54" x14ac:dyDescent="0.3"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Y113" s="47"/>
      <c r="BB113" s="47"/>
    </row>
    <row r="114" spans="2:54" x14ac:dyDescent="0.3"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Y114" s="47"/>
      <c r="BB114" s="47"/>
    </row>
    <row r="115" spans="2:54" x14ac:dyDescent="0.3"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Y115" s="47"/>
      <c r="BB115" s="47"/>
    </row>
    <row r="116" spans="2:54" x14ac:dyDescent="0.3"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Y116" s="47"/>
      <c r="BB116" s="47"/>
    </row>
    <row r="117" spans="2:54" x14ac:dyDescent="0.3"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Y117" s="47"/>
      <c r="BB117" s="47"/>
    </row>
    <row r="118" spans="2:54" x14ac:dyDescent="0.3"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Y118" s="47"/>
      <c r="BB118" s="47"/>
    </row>
    <row r="119" spans="2:54" x14ac:dyDescent="0.3"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Y119" s="47"/>
      <c r="BB119" s="47"/>
    </row>
    <row r="120" spans="2:54" x14ac:dyDescent="0.3"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Y120" s="47"/>
      <c r="BB120" s="47"/>
    </row>
    <row r="121" spans="2:54" x14ac:dyDescent="0.3"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Y121" s="47"/>
      <c r="BB121" s="47"/>
    </row>
    <row r="122" spans="2:54" x14ac:dyDescent="0.3"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Y122" s="47"/>
      <c r="BB122" s="47"/>
    </row>
    <row r="123" spans="2:54" x14ac:dyDescent="0.3"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Y123" s="47"/>
      <c r="BB123" s="47"/>
    </row>
    <row r="124" spans="2:54" x14ac:dyDescent="0.3"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Y124" s="47"/>
      <c r="BB124" s="47"/>
    </row>
    <row r="125" spans="2:54" x14ac:dyDescent="0.3"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Y125" s="47"/>
      <c r="BB125" s="47"/>
    </row>
    <row r="126" spans="2:54" x14ac:dyDescent="0.3"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Y126" s="47"/>
      <c r="BB126" s="47"/>
    </row>
    <row r="127" spans="2:54" x14ac:dyDescent="0.3"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Y127" s="47"/>
      <c r="BB127" s="47"/>
    </row>
    <row r="128" spans="2:54" x14ac:dyDescent="0.3"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Y128" s="47"/>
      <c r="BB128" s="47"/>
    </row>
    <row r="129" spans="2:54" x14ac:dyDescent="0.3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Y129" s="47"/>
      <c r="BB129" s="47"/>
    </row>
    <row r="130" spans="2:54" x14ac:dyDescent="0.3"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Y130" s="47"/>
      <c r="BB130" s="47"/>
    </row>
    <row r="131" spans="2:54" x14ac:dyDescent="0.3"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Y131" s="47"/>
      <c r="BB131" s="47"/>
    </row>
    <row r="132" spans="2:54" x14ac:dyDescent="0.3"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Y132" s="47"/>
      <c r="BB132" s="47"/>
    </row>
    <row r="133" spans="2:54" x14ac:dyDescent="0.3"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Y133" s="47"/>
      <c r="BB133" s="47"/>
    </row>
    <row r="134" spans="2:54" x14ac:dyDescent="0.3"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Y134" s="47"/>
      <c r="BB134" s="47"/>
    </row>
    <row r="135" spans="2:54" x14ac:dyDescent="0.3"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Y135" s="47"/>
      <c r="BB135" s="47"/>
    </row>
    <row r="136" spans="2:54" x14ac:dyDescent="0.3"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Y136" s="47"/>
      <c r="BB136" s="47"/>
    </row>
    <row r="137" spans="2:54" x14ac:dyDescent="0.3"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Y137" s="47"/>
      <c r="BB137" s="47"/>
    </row>
    <row r="138" spans="2:54" x14ac:dyDescent="0.3"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Y138" s="47"/>
      <c r="BB138" s="47"/>
    </row>
    <row r="139" spans="2:54" x14ac:dyDescent="0.3"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Y139" s="47"/>
      <c r="BB139" s="47"/>
    </row>
    <row r="140" spans="2:54" x14ac:dyDescent="0.3"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Y140" s="47"/>
      <c r="BB140" s="47"/>
    </row>
    <row r="141" spans="2:54" x14ac:dyDescent="0.3"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Y141" s="47"/>
      <c r="BB141" s="47"/>
    </row>
    <row r="142" spans="2:54" x14ac:dyDescent="0.3"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Y142" s="47"/>
      <c r="BB142" s="47"/>
    </row>
    <row r="143" spans="2:54" x14ac:dyDescent="0.3"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Y143" s="47"/>
      <c r="BB143" s="47"/>
    </row>
    <row r="144" spans="2:54" x14ac:dyDescent="0.3"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Y144" s="47"/>
      <c r="BB144" s="47"/>
    </row>
    <row r="145" spans="2:54" x14ac:dyDescent="0.3"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Y145" s="47"/>
      <c r="BB145" s="47"/>
    </row>
    <row r="146" spans="2:54" x14ac:dyDescent="0.3"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Y146" s="47"/>
      <c r="BB146" s="47"/>
    </row>
    <row r="147" spans="2:54" x14ac:dyDescent="0.3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Y147" s="47"/>
      <c r="BB147" s="47"/>
    </row>
    <row r="148" spans="2:54" x14ac:dyDescent="0.3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Y148" s="47"/>
      <c r="BB148" s="47"/>
    </row>
    <row r="149" spans="2:54" x14ac:dyDescent="0.3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Y149" s="47"/>
      <c r="BB149" s="47"/>
    </row>
    <row r="150" spans="2:54" x14ac:dyDescent="0.3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Y150" s="47"/>
      <c r="BB150" s="47"/>
    </row>
    <row r="151" spans="2:54" x14ac:dyDescent="0.3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Y151" s="47"/>
      <c r="BB151" s="47"/>
    </row>
    <row r="152" spans="2:54" x14ac:dyDescent="0.3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Y152" s="47"/>
      <c r="BB152" s="47"/>
    </row>
    <row r="153" spans="2:54" x14ac:dyDescent="0.3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Y153" s="47"/>
      <c r="BB153" s="47"/>
    </row>
    <row r="154" spans="2:54" x14ac:dyDescent="0.3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Y154" s="47"/>
      <c r="BB154" s="47"/>
    </row>
    <row r="155" spans="2:54" x14ac:dyDescent="0.3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Y155" s="47"/>
      <c r="BB155" s="47"/>
    </row>
    <row r="156" spans="2:54" x14ac:dyDescent="0.3"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Y156" s="47"/>
      <c r="BB156" s="47"/>
    </row>
    <row r="157" spans="2:54" x14ac:dyDescent="0.3"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Y157" s="47"/>
      <c r="BB157" s="47"/>
    </row>
    <row r="158" spans="2:54" x14ac:dyDescent="0.3"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Y158" s="47"/>
      <c r="BB158" s="47"/>
    </row>
    <row r="159" spans="2:54" x14ac:dyDescent="0.3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Y159" s="47"/>
      <c r="BB159" s="47"/>
    </row>
    <row r="160" spans="2:54" x14ac:dyDescent="0.3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Y160" s="47"/>
      <c r="BB160" s="47"/>
    </row>
    <row r="161" spans="2:54" x14ac:dyDescent="0.3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Y161" s="47"/>
      <c r="BB161" s="47"/>
    </row>
    <row r="162" spans="2:54" x14ac:dyDescent="0.3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Y162" s="47"/>
      <c r="BB162" s="47"/>
    </row>
    <row r="163" spans="2:54" x14ac:dyDescent="0.3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Y163" s="47"/>
      <c r="BB163" s="47"/>
    </row>
    <row r="164" spans="2:54" x14ac:dyDescent="0.3"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Y164" s="47"/>
      <c r="BB164" s="47"/>
    </row>
    <row r="165" spans="2:54" x14ac:dyDescent="0.3"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Y165" s="47"/>
      <c r="BB165" s="47"/>
    </row>
    <row r="166" spans="2:54" x14ac:dyDescent="0.3"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Y166" s="47"/>
      <c r="BB166" s="47"/>
    </row>
    <row r="167" spans="2:54" x14ac:dyDescent="0.3"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Y167" s="47"/>
      <c r="BB167" s="47"/>
    </row>
    <row r="168" spans="2:54" x14ac:dyDescent="0.3"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Y168" s="47"/>
      <c r="BB168" s="47"/>
    </row>
    <row r="169" spans="2:54" x14ac:dyDescent="0.3"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Y169" s="47"/>
      <c r="BB169" s="47"/>
    </row>
    <row r="170" spans="2:54" x14ac:dyDescent="0.3"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Y170" s="47"/>
      <c r="BB170" s="47"/>
    </row>
    <row r="171" spans="2:54" x14ac:dyDescent="0.3"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Y171" s="47"/>
      <c r="BB171" s="47"/>
    </row>
    <row r="172" spans="2:54" x14ac:dyDescent="0.3"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Y172" s="47"/>
      <c r="BB172" s="47"/>
    </row>
    <row r="173" spans="2:54" x14ac:dyDescent="0.3"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Y173" s="47"/>
      <c r="BB173" s="47"/>
    </row>
    <row r="174" spans="2:54" x14ac:dyDescent="0.3"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Y174" s="47"/>
      <c r="BB174" s="47"/>
    </row>
    <row r="175" spans="2:54" x14ac:dyDescent="0.3"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Y175" s="47"/>
      <c r="BB175" s="47"/>
    </row>
    <row r="176" spans="2:54" x14ac:dyDescent="0.3"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Y176" s="47"/>
      <c r="BB176" s="47"/>
    </row>
    <row r="177" spans="2:54" x14ac:dyDescent="0.3"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Y177" s="47"/>
      <c r="BB177" s="47"/>
    </row>
    <row r="178" spans="2:54" x14ac:dyDescent="0.3"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Y178" s="47"/>
      <c r="BB178" s="47"/>
    </row>
    <row r="179" spans="2:54" x14ac:dyDescent="0.3"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Y179" s="47"/>
      <c r="BB179" s="47"/>
    </row>
    <row r="180" spans="2:54" x14ac:dyDescent="0.3"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Y180" s="47"/>
      <c r="BB180" s="47"/>
    </row>
    <row r="181" spans="2:54" x14ac:dyDescent="0.3"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Y181" s="47"/>
      <c r="BB181" s="47"/>
    </row>
    <row r="182" spans="2:54" x14ac:dyDescent="0.3"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Y182" s="47"/>
      <c r="BB182" s="47"/>
    </row>
    <row r="183" spans="2:54" x14ac:dyDescent="0.3"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Y183" s="47"/>
      <c r="BB183" s="47"/>
    </row>
    <row r="184" spans="2:54" x14ac:dyDescent="0.3"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Y184" s="47"/>
      <c r="BB184" s="47"/>
    </row>
    <row r="185" spans="2:54" x14ac:dyDescent="0.3"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Y185" s="47"/>
      <c r="BB185" s="47"/>
    </row>
    <row r="186" spans="2:54" x14ac:dyDescent="0.3"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Y186" s="47"/>
      <c r="BB186" s="47"/>
    </row>
    <row r="187" spans="2:54" x14ac:dyDescent="0.3"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Y187" s="47"/>
      <c r="BB187" s="47"/>
    </row>
    <row r="188" spans="2:54" x14ac:dyDescent="0.3"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Y188" s="47"/>
      <c r="BB188" s="47"/>
    </row>
    <row r="189" spans="2:54" x14ac:dyDescent="0.3"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Y189" s="47"/>
      <c r="BB189" s="47"/>
    </row>
    <row r="190" spans="2:54" x14ac:dyDescent="0.3"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Y190" s="47"/>
      <c r="BB190" s="47"/>
    </row>
    <row r="191" spans="2:54" x14ac:dyDescent="0.3"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Y191" s="47"/>
      <c r="BB191" s="47"/>
    </row>
    <row r="192" spans="2:54" x14ac:dyDescent="0.3"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Y192" s="47"/>
      <c r="BB192" s="47"/>
    </row>
    <row r="193" spans="2:54" x14ac:dyDescent="0.3"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Y193" s="47"/>
      <c r="BB193" s="47"/>
    </row>
    <row r="194" spans="2:54" x14ac:dyDescent="0.3"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Y194" s="47"/>
      <c r="BB194" s="47"/>
    </row>
    <row r="195" spans="2:54" x14ac:dyDescent="0.3"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Y195" s="47"/>
      <c r="BB195" s="47"/>
    </row>
    <row r="196" spans="2:54" x14ac:dyDescent="0.3"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Y196" s="47"/>
      <c r="BB196" s="47"/>
    </row>
    <row r="197" spans="2:54" x14ac:dyDescent="0.3"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Y197" s="47"/>
      <c r="BB197" s="47"/>
    </row>
    <row r="198" spans="2:54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Y198" s="47"/>
      <c r="BB198" s="47"/>
    </row>
    <row r="199" spans="2:54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Y199" s="47"/>
      <c r="BB199" s="47"/>
    </row>
    <row r="200" spans="2:54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Y200" s="47"/>
      <c r="BB200" s="47"/>
    </row>
    <row r="201" spans="2:54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Y201" s="47"/>
      <c r="BB201" s="47"/>
    </row>
    <row r="202" spans="2:54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Y202" s="47"/>
      <c r="BB202" s="47"/>
    </row>
    <row r="203" spans="2:54" x14ac:dyDescent="0.3"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Y203" s="47"/>
      <c r="BB203" s="47"/>
    </row>
    <row r="204" spans="2:54" x14ac:dyDescent="0.3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Y204" s="47"/>
      <c r="BB204" s="47"/>
    </row>
    <row r="205" spans="2:54" x14ac:dyDescent="0.3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Y205" s="47"/>
      <c r="BB205" s="47"/>
    </row>
    <row r="206" spans="2:54" x14ac:dyDescent="0.3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Y206" s="47"/>
      <c r="BB206" s="47"/>
    </row>
    <row r="207" spans="2:54" x14ac:dyDescent="0.3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Y207" s="47"/>
      <c r="BB207" s="47"/>
    </row>
    <row r="208" spans="2:54" x14ac:dyDescent="0.3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Y208" s="47"/>
      <c r="BB208" s="47"/>
    </row>
    <row r="209" spans="2:54" x14ac:dyDescent="0.3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Y209" s="47"/>
      <c r="BB209" s="47"/>
    </row>
    <row r="210" spans="2:54" x14ac:dyDescent="0.3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Y210" s="47"/>
      <c r="BB210" s="47"/>
    </row>
    <row r="211" spans="2:54" x14ac:dyDescent="0.3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Y211" s="47"/>
      <c r="BB211" s="47"/>
    </row>
    <row r="212" spans="2:54" x14ac:dyDescent="0.3"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Y212" s="47"/>
      <c r="BB212" s="47"/>
    </row>
    <row r="213" spans="2:54" x14ac:dyDescent="0.3"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Y213" s="47"/>
      <c r="BB213" s="47"/>
    </row>
    <row r="214" spans="2:54" x14ac:dyDescent="0.3"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Y214" s="47"/>
      <c r="BB214" s="47"/>
    </row>
    <row r="215" spans="2:54" x14ac:dyDescent="0.3"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Y215" s="47"/>
      <c r="BB215" s="47"/>
    </row>
    <row r="216" spans="2:54" x14ac:dyDescent="0.3"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Y216" s="47"/>
      <c r="BB216" s="47"/>
    </row>
    <row r="217" spans="2:54" x14ac:dyDescent="0.3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Y217" s="47"/>
      <c r="BB217" s="47"/>
    </row>
    <row r="218" spans="2:54" x14ac:dyDescent="0.3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Y218" s="47"/>
      <c r="BB218" s="47"/>
    </row>
    <row r="219" spans="2:54" x14ac:dyDescent="0.3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Y219" s="47"/>
      <c r="BB219" s="47"/>
    </row>
    <row r="220" spans="2:54" x14ac:dyDescent="0.3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Y220" s="47"/>
      <c r="BB220" s="47"/>
    </row>
    <row r="221" spans="2:54" x14ac:dyDescent="0.3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Y221" s="47"/>
      <c r="BB221" s="47"/>
    </row>
    <row r="222" spans="2:54" x14ac:dyDescent="0.3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Y222" s="47"/>
      <c r="BB222" s="47"/>
    </row>
    <row r="223" spans="2:54" x14ac:dyDescent="0.3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Y223" s="47"/>
      <c r="BB223" s="47"/>
    </row>
    <row r="224" spans="2:54" x14ac:dyDescent="0.3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Y224" s="47"/>
      <c r="BB224" s="47"/>
    </row>
    <row r="225" spans="2:54" x14ac:dyDescent="0.3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Y225" s="47"/>
      <c r="BB225" s="47"/>
    </row>
    <row r="226" spans="2:54" x14ac:dyDescent="0.3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Y226" s="47"/>
      <c r="BB226" s="47"/>
    </row>
    <row r="227" spans="2:54" x14ac:dyDescent="0.3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Y227" s="47"/>
      <c r="BB227" s="47"/>
    </row>
    <row r="228" spans="2:54" x14ac:dyDescent="0.3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Y228" s="47"/>
      <c r="BB228" s="47"/>
    </row>
    <row r="229" spans="2:54" x14ac:dyDescent="0.3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Y229" s="47"/>
      <c r="BB229" s="47"/>
    </row>
    <row r="230" spans="2:54" x14ac:dyDescent="0.3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Y230" s="47"/>
      <c r="BB230" s="47"/>
    </row>
    <row r="231" spans="2:54" x14ac:dyDescent="0.3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Y231" s="47"/>
      <c r="BB231" s="47"/>
    </row>
    <row r="232" spans="2:54" x14ac:dyDescent="0.3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Y232" s="47"/>
      <c r="BB232" s="47"/>
    </row>
    <row r="233" spans="2:54" x14ac:dyDescent="0.3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Y233" s="47"/>
      <c r="BB233" s="47"/>
    </row>
    <row r="234" spans="2:54" x14ac:dyDescent="0.3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Y234" s="47"/>
      <c r="BB234" s="47"/>
    </row>
    <row r="235" spans="2:54" x14ac:dyDescent="0.3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Y235" s="47"/>
      <c r="BB235" s="47"/>
    </row>
    <row r="236" spans="2:54" x14ac:dyDescent="0.3"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Y236" s="47"/>
      <c r="BB236" s="47"/>
    </row>
    <row r="237" spans="2:54" x14ac:dyDescent="0.3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Y237" s="47"/>
      <c r="BB237" s="47"/>
    </row>
    <row r="238" spans="2:54" x14ac:dyDescent="0.3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Y238" s="47"/>
      <c r="BB238" s="47"/>
    </row>
    <row r="239" spans="2:54" x14ac:dyDescent="0.3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Y239" s="47"/>
      <c r="BB239" s="47"/>
    </row>
    <row r="240" spans="2:54" x14ac:dyDescent="0.3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Y240" s="47"/>
      <c r="BB240" s="47"/>
    </row>
    <row r="241" spans="2:54" x14ac:dyDescent="0.3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Y241" s="47"/>
      <c r="BB241" s="47"/>
    </row>
    <row r="242" spans="2:54" x14ac:dyDescent="0.3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Y242" s="47"/>
      <c r="BB242" s="47"/>
    </row>
    <row r="243" spans="2:54" x14ac:dyDescent="0.3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Y243" s="47"/>
      <c r="BB243" s="47"/>
    </row>
    <row r="244" spans="2:54" x14ac:dyDescent="0.3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Y244" s="47"/>
      <c r="BB244" s="47"/>
    </row>
    <row r="245" spans="2:54" x14ac:dyDescent="0.3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Y245" s="47"/>
      <c r="BB245" s="47"/>
    </row>
    <row r="246" spans="2:54" x14ac:dyDescent="0.3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Y246" s="47"/>
      <c r="BB246" s="47"/>
    </row>
    <row r="247" spans="2:54" x14ac:dyDescent="0.3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Y247" s="47"/>
      <c r="BB247" s="47"/>
    </row>
    <row r="248" spans="2:54" x14ac:dyDescent="0.3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Y248" s="47"/>
      <c r="BB248" s="47"/>
    </row>
    <row r="249" spans="2:54" x14ac:dyDescent="0.3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Y249" s="47"/>
      <c r="BB249" s="47"/>
    </row>
    <row r="250" spans="2:54" x14ac:dyDescent="0.3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Y250" s="47"/>
      <c r="BB250" s="47"/>
    </row>
    <row r="251" spans="2:54" x14ac:dyDescent="0.3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Y251" s="47"/>
      <c r="BB251" s="47"/>
    </row>
    <row r="252" spans="2:54" x14ac:dyDescent="0.3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Y252" s="47"/>
      <c r="BB252" s="47"/>
    </row>
    <row r="253" spans="2:54" x14ac:dyDescent="0.3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Y253" s="47"/>
      <c r="BB253" s="47"/>
    </row>
    <row r="254" spans="2:54" x14ac:dyDescent="0.3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Y254" s="47"/>
      <c r="BB254" s="47"/>
    </row>
    <row r="255" spans="2:54" x14ac:dyDescent="0.3"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Y255" s="47"/>
      <c r="BB255" s="47"/>
    </row>
    <row r="256" spans="2:54" x14ac:dyDescent="0.3"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Y256" s="47"/>
      <c r="BB256" s="47"/>
    </row>
    <row r="257" spans="2:54" x14ac:dyDescent="0.3"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Y257" s="47"/>
      <c r="BB257" s="47"/>
    </row>
    <row r="258" spans="2:54" x14ac:dyDescent="0.3"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Y258" s="47"/>
      <c r="BB258" s="47"/>
    </row>
    <row r="259" spans="2:54" x14ac:dyDescent="0.3"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Y259" s="47"/>
      <c r="BB259" s="47"/>
    </row>
    <row r="260" spans="2:54" x14ac:dyDescent="0.3"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Y260" s="47"/>
      <c r="BB260" s="47"/>
    </row>
    <row r="261" spans="2:54" x14ac:dyDescent="0.3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Y261" s="47"/>
      <c r="BB261" s="47"/>
    </row>
    <row r="262" spans="2:54" x14ac:dyDescent="0.3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Y262" s="47"/>
      <c r="BB262" s="47"/>
    </row>
    <row r="263" spans="2:54" x14ac:dyDescent="0.3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Y263" s="47"/>
      <c r="BB263" s="47"/>
    </row>
    <row r="264" spans="2:54" x14ac:dyDescent="0.3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Y264" s="47"/>
      <c r="BB264" s="47"/>
    </row>
    <row r="265" spans="2:54" x14ac:dyDescent="0.3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Y265" s="47"/>
      <c r="BB265" s="47"/>
    </row>
    <row r="266" spans="2:54" x14ac:dyDescent="0.3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Y266" s="47"/>
      <c r="BB266" s="47"/>
    </row>
    <row r="267" spans="2:54" x14ac:dyDescent="0.3"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Y267" s="47"/>
      <c r="BB267" s="47"/>
    </row>
    <row r="268" spans="2:54" x14ac:dyDescent="0.3"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Y268" s="47"/>
      <c r="BB268" s="47"/>
    </row>
    <row r="269" spans="2:54" x14ac:dyDescent="0.3"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Y269" s="47"/>
      <c r="BB269" s="47"/>
    </row>
    <row r="270" spans="2:54" x14ac:dyDescent="0.3"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Y270" s="47"/>
      <c r="BB270" s="47"/>
    </row>
    <row r="271" spans="2:54" x14ac:dyDescent="0.3"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Y271" s="47"/>
      <c r="BB271" s="47"/>
    </row>
    <row r="272" spans="2:54" x14ac:dyDescent="0.3"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Y272" s="47"/>
      <c r="BB272" s="47"/>
    </row>
    <row r="273" spans="2:54" x14ac:dyDescent="0.3"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Y273" s="47"/>
      <c r="BB273" s="47"/>
    </row>
    <row r="274" spans="2:54" x14ac:dyDescent="0.3"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Y274" s="47"/>
      <c r="BB274" s="47"/>
    </row>
    <row r="275" spans="2:54" x14ac:dyDescent="0.3"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Y275" s="47"/>
      <c r="BB275" s="47"/>
    </row>
    <row r="276" spans="2:54" x14ac:dyDescent="0.3"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Y276" s="47"/>
      <c r="BB276" s="47"/>
    </row>
    <row r="277" spans="2:54" x14ac:dyDescent="0.3"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Y277" s="47"/>
      <c r="BB277" s="47"/>
    </row>
    <row r="278" spans="2:54" x14ac:dyDescent="0.3"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Y278" s="47"/>
      <c r="BB278" s="47"/>
    </row>
    <row r="279" spans="2:54" x14ac:dyDescent="0.3"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Y279" s="47"/>
      <c r="BB279" s="47"/>
    </row>
    <row r="280" spans="2:54" x14ac:dyDescent="0.3"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Y280" s="47"/>
      <c r="BB280" s="47"/>
    </row>
    <row r="281" spans="2:54" x14ac:dyDescent="0.3"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Y281" s="47"/>
      <c r="BB281" s="47"/>
    </row>
    <row r="282" spans="2:54" x14ac:dyDescent="0.3"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Y282" s="47"/>
      <c r="BB282" s="47"/>
    </row>
    <row r="283" spans="2:54" x14ac:dyDescent="0.3"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Y283" s="47"/>
      <c r="BB283" s="47"/>
    </row>
    <row r="284" spans="2:54" x14ac:dyDescent="0.3"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Y284" s="47"/>
      <c r="BB284" s="47"/>
    </row>
    <row r="285" spans="2:54" x14ac:dyDescent="0.3"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Y285" s="47"/>
      <c r="BB285" s="47"/>
    </row>
    <row r="286" spans="2:54" x14ac:dyDescent="0.3"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Y286" s="47"/>
      <c r="BB286" s="47"/>
    </row>
    <row r="287" spans="2:54" x14ac:dyDescent="0.3"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Y287" s="47"/>
      <c r="BB287" s="47"/>
    </row>
    <row r="288" spans="2:54" x14ac:dyDescent="0.3"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Y288" s="47"/>
      <c r="BB288" s="47"/>
    </row>
    <row r="289" spans="2:54" x14ac:dyDescent="0.3"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Y289" s="47"/>
      <c r="BB289" s="47"/>
    </row>
    <row r="290" spans="2:54" x14ac:dyDescent="0.3"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Y290" s="47"/>
      <c r="BB290" s="47"/>
    </row>
    <row r="291" spans="2:54" x14ac:dyDescent="0.3"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Y291" s="47"/>
      <c r="BB291" s="47"/>
    </row>
    <row r="292" spans="2:54" x14ac:dyDescent="0.3"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Y292" s="47"/>
      <c r="BB292" s="47"/>
    </row>
    <row r="293" spans="2:54" x14ac:dyDescent="0.3"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Y293" s="47"/>
      <c r="BB293" s="47"/>
    </row>
    <row r="294" spans="2:54" x14ac:dyDescent="0.3"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Y294" s="47"/>
      <c r="BB294" s="47"/>
    </row>
    <row r="295" spans="2:54" x14ac:dyDescent="0.3"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Y295" s="47"/>
      <c r="BB295" s="47"/>
    </row>
    <row r="296" spans="2:54" x14ac:dyDescent="0.3"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Y296" s="47"/>
      <c r="BB296" s="47"/>
    </row>
    <row r="297" spans="2:54" x14ac:dyDescent="0.3"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Y297" s="47"/>
      <c r="BB297" s="47"/>
    </row>
    <row r="298" spans="2:54" x14ac:dyDescent="0.3"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Y298" s="47"/>
      <c r="BB298" s="47"/>
    </row>
    <row r="299" spans="2:54" x14ac:dyDescent="0.3"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Y299" s="47"/>
      <c r="BB299" s="47"/>
    </row>
    <row r="300" spans="2:54" x14ac:dyDescent="0.3"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Y300" s="47"/>
      <c r="BB300" s="47"/>
    </row>
    <row r="301" spans="2:54" x14ac:dyDescent="0.3"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Y301" s="47"/>
      <c r="BB301" s="47"/>
    </row>
    <row r="302" spans="2:54" x14ac:dyDescent="0.3"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Y302" s="47"/>
      <c r="BB302" s="47"/>
    </row>
    <row r="303" spans="2:54" x14ac:dyDescent="0.3"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Y303" s="47"/>
      <c r="BB303" s="47"/>
    </row>
    <row r="304" spans="2:54" x14ac:dyDescent="0.3">
      <c r="W304" s="47"/>
      <c r="Y304" s="47"/>
    </row>
  </sheetData>
  <mergeCells count="3">
    <mergeCell ref="C15:U15"/>
    <mergeCell ref="AA15:BA15"/>
    <mergeCell ref="B44:U44"/>
  </mergeCells>
  <conditionalFormatting sqref="I24 K24 M24 Q24 I26 K26 M26 I28 K28 M28 I30 K30 M30 I32 K32 M32 I34 K34 M34 I36 K36 M36 I38 K38 M38 I40 K40 M40">
    <cfRule type="cellIs" dxfId="26" priority="39" operator="equal">
      <formula>FALSE</formula>
    </cfRule>
  </conditionalFormatting>
  <conditionalFormatting sqref="K51 Q51 S51 U51">
    <cfRule type="cellIs" dxfId="25" priority="31" operator="equal">
      <formula>0</formula>
    </cfRule>
  </conditionalFormatting>
  <conditionalFormatting sqref="K53 Q53 S53 U53">
    <cfRule type="cellIs" dxfId="24" priority="29" operator="equal">
      <formula>0</formula>
    </cfRule>
  </conditionalFormatting>
  <conditionalFormatting sqref="K55 Q55 S55 U55">
    <cfRule type="cellIs" dxfId="23" priority="27" operator="equal">
      <formula>0</formula>
    </cfRule>
  </conditionalFormatting>
  <conditionalFormatting sqref="K57 Q57 S57 U57">
    <cfRule type="cellIs" dxfId="22" priority="25" operator="equal">
      <formula>0</formula>
    </cfRule>
  </conditionalFormatting>
  <conditionalFormatting sqref="K59 Q59 S59 U59">
    <cfRule type="cellIs" dxfId="21" priority="23" operator="equal">
      <formula>0</formula>
    </cfRule>
  </conditionalFormatting>
  <conditionalFormatting sqref="K61 Q61 S61 U61">
    <cfRule type="cellIs" dxfId="20" priority="21" operator="equal">
      <formula>0</formula>
    </cfRule>
  </conditionalFormatting>
  <conditionalFormatting sqref="K63 Q63 S63 U63">
    <cfRule type="cellIs" dxfId="19" priority="19" operator="equal">
      <formula>0</formula>
    </cfRule>
  </conditionalFormatting>
  <conditionalFormatting sqref="K65 Q65 S65 U65">
    <cfRule type="cellIs" dxfId="18" priority="17" operator="equal">
      <formula>0</formula>
    </cfRule>
  </conditionalFormatting>
  <conditionalFormatting sqref="K67 Q67 S67 U67">
    <cfRule type="cellIs" dxfId="17" priority="15" operator="equal">
      <formula>0</formula>
    </cfRule>
  </conditionalFormatting>
  <conditionalFormatting sqref="K69 Q69 S69 U69">
    <cfRule type="cellIs" dxfId="16" priority="13" operator="equal">
      <formula>0</formula>
    </cfRule>
  </conditionalFormatting>
  <conditionalFormatting sqref="K71 Q71 S71 U71">
    <cfRule type="cellIs" dxfId="15" priority="11" operator="equal">
      <formula>0</formula>
    </cfRule>
  </conditionalFormatting>
  <conditionalFormatting sqref="Q22">
    <cfRule type="cellIs" dxfId="14" priority="36" operator="equal">
      <formula>0</formula>
    </cfRule>
    <cfRule type="cellIs" dxfId="13" priority="37" operator="equal">
      <formula>FALSE</formula>
    </cfRule>
  </conditionalFormatting>
  <conditionalFormatting sqref="Q24 S24 U24 Q26 S26 U26 Q28 S28 U28 Q30 S30 U30 Q32 S32 U32 Q34 S34 U34 Q36 S36 U36 Q38 S38 U38 Q40 S40 U40">
    <cfRule type="cellIs" dxfId="12" priority="38" operator="equal">
      <formula>0</formula>
    </cfRule>
  </conditionalFormatting>
  <conditionalFormatting sqref="S22">
    <cfRule type="cellIs" dxfId="11" priority="34" operator="equal">
      <formula>0</formula>
    </cfRule>
    <cfRule type="cellIs" dxfId="10" priority="35" operator="equal">
      <formula>FALSE</formula>
    </cfRule>
  </conditionalFormatting>
  <conditionalFormatting sqref="U22">
    <cfRule type="cellIs" dxfId="9" priority="33" operator="equal">
      <formula>0</formula>
    </cfRule>
  </conditionalFormatting>
  <conditionalFormatting sqref="AE22 AE24 AE26 AE28 AE30 AE32 AE34 AE36 AE38 AE40">
    <cfRule type="cellIs" dxfId="8" priority="9" operator="equal">
      <formula>0</formula>
    </cfRule>
  </conditionalFormatting>
  <conditionalFormatting sqref="AE44:AE45">
    <cfRule type="cellIs" dxfId="7" priority="7" operator="equal">
      <formula>0</formula>
    </cfRule>
  </conditionalFormatting>
  <conditionalFormatting sqref="AE47">
    <cfRule type="cellIs" dxfId="6" priority="6" operator="equal">
      <formula>0</formula>
    </cfRule>
  </conditionalFormatting>
  <conditionalFormatting sqref="AE49">
    <cfRule type="cellIs" dxfId="5" priority="5" operator="equal">
      <formula>0</formula>
    </cfRule>
  </conditionalFormatting>
  <conditionalFormatting sqref="AE51">
    <cfRule type="cellIs" dxfId="4" priority="4" operator="equal">
      <formula>0</formula>
    </cfRule>
  </conditionalFormatting>
  <conditionalFormatting sqref="AE53">
    <cfRule type="cellIs" dxfId="3" priority="3" operator="equal">
      <formula>0</formula>
    </cfRule>
  </conditionalFormatting>
  <conditionalFormatting sqref="AE55">
    <cfRule type="cellIs" dxfId="2" priority="2" operator="equal">
      <formula>0</formula>
    </cfRule>
  </conditionalFormatting>
  <conditionalFormatting sqref="AE57">
    <cfRule type="cellIs" dxfId="1" priority="1" operator="equal">
      <formula>0</formula>
    </cfRule>
  </conditionalFormatting>
  <conditionalFormatting sqref="BA24 BA26 BA28 BA30 BA32 BA34 BA36 BA38 BA40">
    <cfRule type="cellIs" dxfId="0" priority="10" operator="equal">
      <formula>0</formula>
    </cfRule>
  </conditionalFormatting>
  <dataValidations count="2">
    <dataValidation type="list" allowBlank="1" showInputMessage="1" showErrorMessage="1" sqref="AC22 AC40 AC38 AC36 AC34 AC32 AC30 AC28 AC26 AC24 AC44:AC45 AC47 AC49 AC51 AC53 AC55 AC57" xr:uid="{0758671A-6566-4432-9032-B9138E96EC26}">
      <formula1>INDIRECT($AA22)</formula1>
    </dataValidation>
    <dataValidation type="list" allowBlank="1" showInputMessage="1" showErrorMessage="1" sqref="E22 E40 E38 E36 E34 E32 E30 E28 E26 E24" xr:uid="{09298D7B-7C5B-4F16-BFF1-38C26A917E8D}">
      <formula1>INDIRECT($C22)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CA416E-D7E6-42AE-9505-A5BA8CD00C42}">
          <x14:formula1>
            <xm:f>TransportationLists!$O$4:$O$8</xm:f>
          </x14:formula1>
          <xm:sqref>G22 G24 G26 G28 G30 G32 G34 G36 G38 G40</xm:sqref>
        </x14:dataValidation>
        <x14:dataValidation type="list" allowBlank="1" showInputMessage="1" showErrorMessage="1" xr:uid="{7250BD4B-EF99-44EF-A4C8-23EB3148C571}">
          <x14:formula1>
            <xm:f>SightseeingLists!$G$2:$G$6</xm:f>
          </x14:formula1>
          <xm:sqref>AA22 AA24 AA26 AA28 AA30 AA32 AA34 AA36 AA38 AA40 AA44:AA45 AA47 AA49 AA51 AA53 AA55 AA57</xm:sqref>
        </x14:dataValidation>
        <x14:dataValidation type="list" allowBlank="1" showInputMessage="1" showErrorMessage="1" xr:uid="{FAB1700C-277D-4347-B94C-4E823BD521F9}">
          <x14:formula1>
            <xm:f>AccommodationLists!$A$1:$A$3</xm:f>
          </x14:formula1>
          <xm:sqref>C51 C53 C55 C57 C59 C61 C63 C65 C67 C69 C71</xm:sqref>
        </x14:dataValidation>
        <x14:dataValidation type="list" allowBlank="1" showInputMessage="1" showErrorMessage="1" xr:uid="{AAACF8AF-D103-4D2C-ACFE-38FF03A231EE}">
          <x14:formula1>
            <xm:f>TransportationLists!$P$4:$P$9</xm:f>
          </x14:formula1>
          <xm:sqref>C22 C24 C26 C28 C30 C32 C34 C36 C38 C40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7E7C-CE73-4004-A501-98907A863E3D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343</v>
      </c>
    </row>
    <row r="2" spans="1:1" x14ac:dyDescent="0.3">
      <c r="A2" t="s">
        <v>344</v>
      </c>
    </row>
    <row r="3" spans="1:1" x14ac:dyDescent="0.3">
      <c r="A3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F9D1-9C93-4574-89EC-B165A643D190}">
  <dimension ref="A1:V208"/>
  <sheetViews>
    <sheetView topLeftCell="B1" workbookViewId="0">
      <pane ySplit="3" topLeftCell="A4" activePane="bottomLeft" state="frozen"/>
      <selection activeCell="AT1" sqref="AT1"/>
      <selection pane="bottomLeft" activeCell="V44" sqref="V44:V45"/>
    </sheetView>
  </sheetViews>
  <sheetFormatPr defaultColWidth="9.109375" defaultRowHeight="14.4" x14ac:dyDescent="0.3"/>
  <cols>
    <col min="1" max="1" width="4" style="1" bestFit="1" customWidth="1"/>
    <col min="2" max="2" width="11.33203125" style="1" bestFit="1" customWidth="1"/>
    <col min="3" max="3" width="23.33203125" style="1" bestFit="1" customWidth="1"/>
    <col min="4" max="4" width="5.109375" style="23" bestFit="1" customWidth="1"/>
    <col min="5" max="5" width="4" style="23" bestFit="1" customWidth="1"/>
    <col min="6" max="6" width="6" style="23" bestFit="1" customWidth="1"/>
    <col min="7" max="7" width="4" style="23" bestFit="1" customWidth="1"/>
    <col min="8" max="8" width="9" style="23" bestFit="1" customWidth="1"/>
    <col min="9" max="9" width="3.6640625" style="23" bestFit="1" customWidth="1"/>
    <col min="10" max="10" width="6" style="23" bestFit="1" customWidth="1"/>
    <col min="11" max="11" width="4" style="23" bestFit="1" customWidth="1"/>
    <col min="12" max="12" width="6" style="23" bestFit="1" customWidth="1"/>
    <col min="13" max="13" width="3.6640625" style="23" bestFit="1" customWidth="1"/>
    <col min="14" max="14" width="7.6640625" style="19" customWidth="1"/>
    <col min="15" max="15" width="9.109375" style="1" customWidth="1"/>
    <col min="16" max="16" width="11.33203125" style="1" customWidth="1"/>
    <col min="17" max="17" width="23.33203125" style="1" customWidth="1"/>
    <col min="18" max="21" width="9.109375" style="1" customWidth="1"/>
    <col min="22" max="16384" width="9.109375" style="1"/>
  </cols>
  <sheetData>
    <row r="1" spans="1:22" ht="15" thickBot="1" x14ac:dyDescent="0.35">
      <c r="C1" s="1">
        <v>1</v>
      </c>
      <c r="D1" s="23">
        <v>2</v>
      </c>
      <c r="E1" s="23">
        <v>3</v>
      </c>
      <c r="F1" s="23">
        <v>4</v>
      </c>
      <c r="G1" s="23">
        <v>5</v>
      </c>
      <c r="H1" s="23">
        <v>6</v>
      </c>
      <c r="I1" s="23">
        <v>7</v>
      </c>
      <c r="J1" s="23">
        <v>8</v>
      </c>
      <c r="K1" s="23">
        <v>9</v>
      </c>
      <c r="L1" s="23">
        <v>10</v>
      </c>
      <c r="M1" s="23">
        <v>11</v>
      </c>
      <c r="N1" s="19">
        <v>12</v>
      </c>
    </row>
    <row r="2" spans="1:22" ht="15.6" x14ac:dyDescent="0.3">
      <c r="A2" s="74" t="s">
        <v>115</v>
      </c>
      <c r="B2" s="76" t="s">
        <v>0</v>
      </c>
      <c r="C2" s="76" t="s">
        <v>6</v>
      </c>
      <c r="D2" s="78" t="s">
        <v>1</v>
      </c>
      <c r="E2" s="79"/>
      <c r="F2" s="80" t="s">
        <v>2</v>
      </c>
      <c r="G2" s="81"/>
      <c r="H2" s="80" t="s">
        <v>3</v>
      </c>
      <c r="I2" s="81"/>
      <c r="J2" s="80" t="s">
        <v>4</v>
      </c>
      <c r="K2" s="81"/>
      <c r="L2" s="80" t="s">
        <v>5</v>
      </c>
      <c r="M2" s="81"/>
      <c r="N2" s="72" t="s">
        <v>312</v>
      </c>
      <c r="O2" s="1" t="s">
        <v>302</v>
      </c>
      <c r="P2" s="71" t="s">
        <v>299</v>
      </c>
    </row>
    <row r="3" spans="1:22" ht="15" thickBot="1" x14ac:dyDescent="0.35">
      <c r="A3" s="75"/>
      <c r="B3" s="77"/>
      <c r="C3" s="77"/>
      <c r="D3" s="5" t="s">
        <v>34</v>
      </c>
      <c r="E3" s="6" t="s">
        <v>35</v>
      </c>
      <c r="F3" s="5" t="s">
        <v>34</v>
      </c>
      <c r="G3" s="6" t="s">
        <v>35</v>
      </c>
      <c r="H3" s="5" t="s">
        <v>34</v>
      </c>
      <c r="I3" s="6" t="s">
        <v>35</v>
      </c>
      <c r="J3" s="5" t="s">
        <v>34</v>
      </c>
      <c r="K3" s="6" t="s">
        <v>35</v>
      </c>
      <c r="L3" s="5" t="s">
        <v>34</v>
      </c>
      <c r="M3" s="6" t="s">
        <v>35</v>
      </c>
      <c r="N3" s="73"/>
      <c r="P3" s="71"/>
      <c r="Q3" s="1" t="s">
        <v>6</v>
      </c>
      <c r="R3" s="1" t="s">
        <v>36</v>
      </c>
      <c r="S3" s="1" t="s">
        <v>71</v>
      </c>
      <c r="T3" s="1" t="s">
        <v>116</v>
      </c>
      <c r="U3" s="1" t="s">
        <v>150</v>
      </c>
      <c r="V3" s="1" t="s">
        <v>347</v>
      </c>
    </row>
    <row r="4" spans="1:22" x14ac:dyDescent="0.3">
      <c r="A4" s="22">
        <f>ROW()-2</f>
        <v>2</v>
      </c>
      <c r="B4" s="15" t="s">
        <v>6</v>
      </c>
      <c r="C4" s="15" t="s">
        <v>7</v>
      </c>
      <c r="D4" s="7">
        <v>0</v>
      </c>
      <c r="E4" s="8"/>
      <c r="F4" s="7">
        <v>480</v>
      </c>
      <c r="G4" s="8"/>
      <c r="H4" s="7">
        <f t="shared" ref="H4:H9" si="0">F4*(1+14.5%)</f>
        <v>549.6</v>
      </c>
      <c r="I4" s="8"/>
      <c r="J4" s="7">
        <v>780</v>
      </c>
      <c r="K4" s="8">
        <v>250</v>
      </c>
      <c r="L4" s="7">
        <v>1800</v>
      </c>
      <c r="M4" s="8"/>
      <c r="N4" s="28">
        <v>150</v>
      </c>
      <c r="O4" s="1" t="s">
        <v>1</v>
      </c>
      <c r="P4" s="1" t="s">
        <v>6</v>
      </c>
      <c r="Q4" s="32" t="s">
        <v>7</v>
      </c>
      <c r="R4" s="32" t="s">
        <v>37</v>
      </c>
      <c r="S4" s="33" t="s">
        <v>72</v>
      </c>
      <c r="T4" s="33" t="s">
        <v>117</v>
      </c>
      <c r="U4" s="33" t="s">
        <v>151</v>
      </c>
      <c r="V4" s="1" t="s">
        <v>348</v>
      </c>
    </row>
    <row r="5" spans="1:22" x14ac:dyDescent="0.3">
      <c r="A5" s="22">
        <f t="shared" ref="A5:A30" si="1">ROW()-2</f>
        <v>3</v>
      </c>
      <c r="B5" s="16" t="s">
        <v>6</v>
      </c>
      <c r="C5" s="16" t="s">
        <v>8</v>
      </c>
      <c r="D5" s="9">
        <v>0</v>
      </c>
      <c r="E5" s="10"/>
      <c r="F5" s="9">
        <v>1350</v>
      </c>
      <c r="G5" s="10"/>
      <c r="H5" s="9">
        <f t="shared" si="0"/>
        <v>1545.75</v>
      </c>
      <c r="I5" s="10"/>
      <c r="J5" s="9">
        <v>1710</v>
      </c>
      <c r="K5" s="10"/>
      <c r="L5" s="9">
        <v>3960</v>
      </c>
      <c r="M5" s="10"/>
      <c r="N5" s="20">
        <v>150</v>
      </c>
      <c r="O5" s="1" t="s">
        <v>2</v>
      </c>
      <c r="P5" s="1" t="s">
        <v>36</v>
      </c>
      <c r="Q5" s="32" t="s">
        <v>8</v>
      </c>
      <c r="R5" s="32" t="s">
        <v>38</v>
      </c>
      <c r="S5" s="33" t="s">
        <v>73</v>
      </c>
      <c r="T5" s="33" t="s">
        <v>7</v>
      </c>
      <c r="U5" s="33" t="s">
        <v>152</v>
      </c>
      <c r="V5" s="1" t="s">
        <v>349</v>
      </c>
    </row>
    <row r="6" spans="1:22" x14ac:dyDescent="0.3">
      <c r="A6" s="22">
        <f t="shared" si="1"/>
        <v>4</v>
      </c>
      <c r="B6" s="17" t="s">
        <v>6</v>
      </c>
      <c r="C6" s="17" t="s">
        <v>9</v>
      </c>
      <c r="D6" s="11">
        <v>0</v>
      </c>
      <c r="E6" s="12"/>
      <c r="F6" s="11">
        <v>1800</v>
      </c>
      <c r="G6" s="12"/>
      <c r="H6" s="11">
        <f t="shared" si="0"/>
        <v>2061</v>
      </c>
      <c r="I6" s="12"/>
      <c r="J6" s="11">
        <v>2280</v>
      </c>
      <c r="K6" s="12"/>
      <c r="L6" s="11">
        <v>4800</v>
      </c>
      <c r="M6" s="12"/>
      <c r="N6" s="20">
        <v>150</v>
      </c>
      <c r="O6" s="1" t="s">
        <v>3</v>
      </c>
      <c r="P6" s="1" t="s">
        <v>71</v>
      </c>
      <c r="Q6" s="32" t="s">
        <v>9</v>
      </c>
      <c r="R6" s="32" t="s">
        <v>39</v>
      </c>
      <c r="S6" s="33" t="s">
        <v>74</v>
      </c>
      <c r="T6" s="33" t="s">
        <v>118</v>
      </c>
      <c r="U6" s="33" t="s">
        <v>153</v>
      </c>
      <c r="V6" s="1" t="s">
        <v>350</v>
      </c>
    </row>
    <row r="7" spans="1:22" x14ac:dyDescent="0.3">
      <c r="A7" s="22">
        <f t="shared" si="1"/>
        <v>5</v>
      </c>
      <c r="B7" s="17" t="s">
        <v>6</v>
      </c>
      <c r="C7" s="17" t="s">
        <v>10</v>
      </c>
      <c r="D7" s="11">
        <v>0</v>
      </c>
      <c r="E7" s="12"/>
      <c r="F7" s="11">
        <v>426</v>
      </c>
      <c r="G7" s="12"/>
      <c r="H7" s="11">
        <f t="shared" si="0"/>
        <v>487.77</v>
      </c>
      <c r="I7" s="12"/>
      <c r="J7" s="11">
        <v>726</v>
      </c>
      <c r="K7" s="12"/>
      <c r="L7" s="11">
        <v>1632</v>
      </c>
      <c r="M7" s="12"/>
      <c r="N7" s="20">
        <v>150</v>
      </c>
      <c r="O7" s="1" t="s">
        <v>4</v>
      </c>
      <c r="P7" s="1" t="s">
        <v>116</v>
      </c>
      <c r="Q7" s="32" t="s">
        <v>10</v>
      </c>
      <c r="R7" s="32" t="s">
        <v>40</v>
      </c>
      <c r="S7" s="33" t="s">
        <v>75</v>
      </c>
      <c r="T7" s="33" t="s">
        <v>119</v>
      </c>
      <c r="U7" s="33" t="s">
        <v>154</v>
      </c>
      <c r="V7" s="1" t="s">
        <v>351</v>
      </c>
    </row>
    <row r="8" spans="1:22" x14ac:dyDescent="0.3">
      <c r="A8" s="22">
        <f t="shared" si="1"/>
        <v>6</v>
      </c>
      <c r="B8" s="17" t="s">
        <v>6</v>
      </c>
      <c r="C8" s="17" t="s">
        <v>11</v>
      </c>
      <c r="D8" s="11">
        <v>0</v>
      </c>
      <c r="E8" s="12"/>
      <c r="F8" s="11">
        <v>1704</v>
      </c>
      <c r="G8" s="12"/>
      <c r="H8" s="11">
        <f t="shared" si="0"/>
        <v>1951.08</v>
      </c>
      <c r="I8" s="12"/>
      <c r="J8" s="11">
        <v>2250</v>
      </c>
      <c r="K8" s="12"/>
      <c r="L8" s="11">
        <v>4104</v>
      </c>
      <c r="M8" s="12"/>
      <c r="N8" s="20">
        <v>150</v>
      </c>
      <c r="O8" s="1" t="s">
        <v>5</v>
      </c>
      <c r="P8" s="1" t="s">
        <v>150</v>
      </c>
      <c r="Q8" s="32" t="s">
        <v>11</v>
      </c>
      <c r="R8" s="32" t="s">
        <v>41</v>
      </c>
      <c r="S8" s="33" t="s">
        <v>76</v>
      </c>
      <c r="T8" s="33" t="s">
        <v>120</v>
      </c>
      <c r="U8" s="33" t="s">
        <v>155</v>
      </c>
      <c r="V8" s="1" t="s">
        <v>352</v>
      </c>
    </row>
    <row r="9" spans="1:22" x14ac:dyDescent="0.3">
      <c r="A9" s="22">
        <f t="shared" si="1"/>
        <v>7</v>
      </c>
      <c r="B9" s="17" t="s">
        <v>6</v>
      </c>
      <c r="C9" s="17" t="s">
        <v>12</v>
      </c>
      <c r="D9" s="11">
        <v>0</v>
      </c>
      <c r="E9" s="12"/>
      <c r="F9" s="11">
        <v>870</v>
      </c>
      <c r="G9" s="12"/>
      <c r="H9" s="11">
        <f t="shared" si="0"/>
        <v>996.15</v>
      </c>
      <c r="I9" s="12"/>
      <c r="J9" s="11">
        <v>1440</v>
      </c>
      <c r="K9" s="12"/>
      <c r="L9" s="11">
        <v>2520</v>
      </c>
      <c r="M9" s="12"/>
      <c r="N9" s="20">
        <v>150</v>
      </c>
      <c r="P9" s="1" t="s">
        <v>347</v>
      </c>
      <c r="Q9" s="32" t="s">
        <v>12</v>
      </c>
      <c r="R9" s="32" t="s">
        <v>42</v>
      </c>
      <c r="S9" s="33" t="s">
        <v>77</v>
      </c>
      <c r="T9" s="33" t="s">
        <v>121</v>
      </c>
      <c r="U9" s="33" t="s">
        <v>156</v>
      </c>
      <c r="V9" s="1" t="s">
        <v>353</v>
      </c>
    </row>
    <row r="10" spans="1:22" x14ac:dyDescent="0.3">
      <c r="A10" s="22">
        <f t="shared" si="1"/>
        <v>8</v>
      </c>
      <c r="B10" s="17" t="s">
        <v>6</v>
      </c>
      <c r="C10" s="17" t="s">
        <v>13</v>
      </c>
      <c r="D10" s="11">
        <v>0</v>
      </c>
      <c r="E10" s="12"/>
      <c r="F10" s="11">
        <v>426</v>
      </c>
      <c r="G10" s="12"/>
      <c r="H10" s="11">
        <v>426</v>
      </c>
      <c r="I10" s="12"/>
      <c r="J10" s="11">
        <v>426</v>
      </c>
      <c r="K10" s="12"/>
      <c r="L10" s="11">
        <v>1632</v>
      </c>
      <c r="M10" s="12"/>
      <c r="N10" s="20">
        <v>150</v>
      </c>
      <c r="Q10" s="32" t="s">
        <v>13</v>
      </c>
      <c r="R10" s="32" t="s">
        <v>43</v>
      </c>
      <c r="S10" s="33" t="s">
        <v>78</v>
      </c>
      <c r="T10" s="33" t="s">
        <v>122</v>
      </c>
      <c r="U10" s="33" t="s">
        <v>157</v>
      </c>
      <c r="V10" s="1" t="s">
        <v>354</v>
      </c>
    </row>
    <row r="11" spans="1:22" x14ac:dyDescent="0.3">
      <c r="A11" s="22">
        <f t="shared" si="1"/>
        <v>9</v>
      </c>
      <c r="B11" s="17" t="s">
        <v>6</v>
      </c>
      <c r="C11" s="17" t="s">
        <v>14</v>
      </c>
      <c r="D11" s="11">
        <v>0</v>
      </c>
      <c r="E11" s="12"/>
      <c r="F11" s="11">
        <v>426</v>
      </c>
      <c r="G11" s="12"/>
      <c r="H11" s="11">
        <v>426</v>
      </c>
      <c r="I11" s="12"/>
      <c r="J11" s="11">
        <v>426</v>
      </c>
      <c r="K11" s="12"/>
      <c r="L11" s="11">
        <v>1632</v>
      </c>
      <c r="M11" s="12"/>
      <c r="N11" s="20">
        <v>150</v>
      </c>
      <c r="Q11" s="32" t="s">
        <v>14</v>
      </c>
      <c r="R11" s="32" t="s">
        <v>44</v>
      </c>
      <c r="S11" s="33" t="s">
        <v>79</v>
      </c>
      <c r="T11" s="33" t="s">
        <v>123</v>
      </c>
      <c r="U11" s="33" t="s">
        <v>158</v>
      </c>
      <c r="V11" s="1" t="s">
        <v>134</v>
      </c>
    </row>
    <row r="12" spans="1:22" x14ac:dyDescent="0.3">
      <c r="A12" s="22">
        <f t="shared" si="1"/>
        <v>10</v>
      </c>
      <c r="B12" s="17" t="s">
        <v>6</v>
      </c>
      <c r="C12" s="17" t="s">
        <v>15</v>
      </c>
      <c r="D12" s="11">
        <v>0</v>
      </c>
      <c r="E12" s="12"/>
      <c r="F12" s="11">
        <v>1323</v>
      </c>
      <c r="G12" s="12"/>
      <c r="H12" s="11">
        <v>1323</v>
      </c>
      <c r="I12" s="12"/>
      <c r="J12" s="11">
        <v>1323</v>
      </c>
      <c r="K12" s="12"/>
      <c r="L12" s="11">
        <v>3238</v>
      </c>
      <c r="M12" s="12"/>
      <c r="N12" s="20">
        <v>150</v>
      </c>
      <c r="Q12" s="32" t="s">
        <v>15</v>
      </c>
      <c r="R12" s="32" t="s">
        <v>45</v>
      </c>
      <c r="S12" s="33" t="s">
        <v>80</v>
      </c>
      <c r="T12" s="33" t="s">
        <v>124</v>
      </c>
      <c r="U12" s="33" t="s">
        <v>159</v>
      </c>
      <c r="V12" s="1" t="s">
        <v>355</v>
      </c>
    </row>
    <row r="13" spans="1:22" x14ac:dyDescent="0.3">
      <c r="A13" s="22">
        <f t="shared" si="1"/>
        <v>11</v>
      </c>
      <c r="B13" s="17" t="s">
        <v>6</v>
      </c>
      <c r="C13" s="17" t="s">
        <v>16</v>
      </c>
      <c r="D13" s="11">
        <v>0</v>
      </c>
      <c r="E13" s="12"/>
      <c r="F13" s="11">
        <v>1788</v>
      </c>
      <c r="G13" s="12"/>
      <c r="H13" s="11">
        <v>1788</v>
      </c>
      <c r="I13" s="12"/>
      <c r="J13" s="11">
        <v>1788</v>
      </c>
      <c r="K13" s="12"/>
      <c r="L13" s="11">
        <v>4500</v>
      </c>
      <c r="M13" s="12"/>
      <c r="N13" s="20">
        <v>150</v>
      </c>
      <c r="Q13" s="32" t="s">
        <v>16</v>
      </c>
      <c r="R13" s="32" t="s">
        <v>46</v>
      </c>
      <c r="S13" s="33" t="s">
        <v>81</v>
      </c>
      <c r="T13" s="33" t="s">
        <v>125</v>
      </c>
      <c r="U13" s="33" t="s">
        <v>160</v>
      </c>
      <c r="V13" s="1" t="s">
        <v>356</v>
      </c>
    </row>
    <row r="14" spans="1:22" x14ac:dyDescent="0.3">
      <c r="A14" s="22">
        <f t="shared" si="1"/>
        <v>12</v>
      </c>
      <c r="B14" s="17" t="s">
        <v>6</v>
      </c>
      <c r="C14" s="17" t="s">
        <v>17</v>
      </c>
      <c r="D14" s="11">
        <v>0</v>
      </c>
      <c r="E14" s="12"/>
      <c r="F14" s="11">
        <v>3900</v>
      </c>
      <c r="G14" s="12"/>
      <c r="H14" s="11">
        <f t="shared" ref="H14:H25" si="2">F14*(1+14.5%)</f>
        <v>4465.5</v>
      </c>
      <c r="I14" s="12"/>
      <c r="J14" s="11">
        <v>5526</v>
      </c>
      <c r="K14" s="12"/>
      <c r="L14" s="11">
        <v>9948</v>
      </c>
      <c r="M14" s="12"/>
      <c r="N14" s="20">
        <v>150</v>
      </c>
      <c r="Q14" s="32" t="s">
        <v>17</v>
      </c>
      <c r="R14" s="32" t="s">
        <v>47</v>
      </c>
      <c r="S14" s="33" t="s">
        <v>82</v>
      </c>
      <c r="T14" s="33" t="s">
        <v>126</v>
      </c>
      <c r="U14" s="33" t="s">
        <v>161</v>
      </c>
      <c r="V14" s="1" t="s">
        <v>357</v>
      </c>
    </row>
    <row r="15" spans="1:22" x14ac:dyDescent="0.3">
      <c r="A15" s="22">
        <f t="shared" si="1"/>
        <v>13</v>
      </c>
      <c r="B15" s="17" t="s">
        <v>6</v>
      </c>
      <c r="C15" s="17" t="s">
        <v>18</v>
      </c>
      <c r="D15" s="11">
        <v>0</v>
      </c>
      <c r="E15" s="12"/>
      <c r="F15" s="11">
        <v>3900</v>
      </c>
      <c r="G15" s="12"/>
      <c r="H15" s="11">
        <f t="shared" si="2"/>
        <v>4465.5</v>
      </c>
      <c r="I15" s="12"/>
      <c r="J15" s="11">
        <v>5526</v>
      </c>
      <c r="K15" s="12"/>
      <c r="L15" s="11">
        <v>9948</v>
      </c>
      <c r="M15" s="12"/>
      <c r="N15" s="20">
        <v>150</v>
      </c>
      <c r="Q15" s="32" t="s">
        <v>18</v>
      </c>
      <c r="R15" s="32" t="s">
        <v>48</v>
      </c>
      <c r="S15" s="33" t="s">
        <v>83</v>
      </c>
      <c r="T15" s="33" t="s">
        <v>127</v>
      </c>
      <c r="U15" s="33" t="s">
        <v>162</v>
      </c>
      <c r="V15" s="1" t="s">
        <v>358</v>
      </c>
    </row>
    <row r="16" spans="1:22" x14ac:dyDescent="0.3">
      <c r="A16" s="22">
        <f t="shared" si="1"/>
        <v>14</v>
      </c>
      <c r="B16" s="17" t="s">
        <v>6</v>
      </c>
      <c r="C16" s="17" t="s">
        <v>19</v>
      </c>
      <c r="D16" s="11">
        <v>0</v>
      </c>
      <c r="E16" s="12"/>
      <c r="F16" s="11">
        <v>1632</v>
      </c>
      <c r="G16" s="12"/>
      <c r="H16" s="11">
        <f t="shared" si="2"/>
        <v>1868.64</v>
      </c>
      <c r="I16" s="12"/>
      <c r="J16" s="11">
        <v>2160</v>
      </c>
      <c r="K16" s="12"/>
      <c r="L16" s="11">
        <v>4656</v>
      </c>
      <c r="M16" s="12"/>
      <c r="N16" s="20">
        <v>150</v>
      </c>
      <c r="Q16" s="32" t="s">
        <v>19</v>
      </c>
      <c r="R16" s="32" t="s">
        <v>49</v>
      </c>
      <c r="S16" s="33" t="s">
        <v>84</v>
      </c>
      <c r="T16" s="33" t="s">
        <v>128</v>
      </c>
      <c r="U16" s="33" t="s">
        <v>163</v>
      </c>
      <c r="V16" s="1" t="s">
        <v>359</v>
      </c>
    </row>
    <row r="17" spans="1:22" x14ac:dyDescent="0.3">
      <c r="A17" s="22">
        <f t="shared" si="1"/>
        <v>15</v>
      </c>
      <c r="B17" s="17" t="s">
        <v>6</v>
      </c>
      <c r="C17" s="17" t="s">
        <v>20</v>
      </c>
      <c r="D17" s="11">
        <v>0</v>
      </c>
      <c r="E17" s="12"/>
      <c r="F17" s="11">
        <v>2844</v>
      </c>
      <c r="G17" s="12"/>
      <c r="H17" s="11">
        <f t="shared" si="2"/>
        <v>3256.38</v>
      </c>
      <c r="I17" s="12"/>
      <c r="J17" s="11">
        <v>3396</v>
      </c>
      <c r="K17" s="12"/>
      <c r="L17" s="11">
        <v>7344</v>
      </c>
      <c r="M17" s="12"/>
      <c r="N17" s="20">
        <v>150</v>
      </c>
      <c r="Q17" s="32" t="s">
        <v>20</v>
      </c>
      <c r="R17" s="32" t="s">
        <v>50</v>
      </c>
      <c r="S17" s="33" t="s">
        <v>85</v>
      </c>
      <c r="T17" s="33" t="s">
        <v>129</v>
      </c>
      <c r="U17" s="33" t="s">
        <v>164</v>
      </c>
      <c r="V17" s="1" t="s">
        <v>360</v>
      </c>
    </row>
    <row r="18" spans="1:22" x14ac:dyDescent="0.3">
      <c r="A18" s="22">
        <f t="shared" si="1"/>
        <v>16</v>
      </c>
      <c r="B18" s="17" t="s">
        <v>6</v>
      </c>
      <c r="C18" s="17" t="s">
        <v>21</v>
      </c>
      <c r="D18" s="11">
        <v>0</v>
      </c>
      <c r="E18" s="12"/>
      <c r="F18" s="11">
        <v>2604</v>
      </c>
      <c r="G18" s="12"/>
      <c r="H18" s="11">
        <f t="shared" si="2"/>
        <v>2981.58</v>
      </c>
      <c r="I18" s="12"/>
      <c r="J18" s="11">
        <v>3600</v>
      </c>
      <c r="K18" s="12"/>
      <c r="L18" s="11">
        <v>6360</v>
      </c>
      <c r="M18" s="12"/>
      <c r="N18" s="20">
        <v>150</v>
      </c>
      <c r="Q18" s="32" t="s">
        <v>21</v>
      </c>
      <c r="R18" s="32" t="s">
        <v>51</v>
      </c>
      <c r="S18" s="33" t="s">
        <v>86</v>
      </c>
      <c r="T18" s="33" t="s">
        <v>130</v>
      </c>
      <c r="U18" s="33" t="s">
        <v>165</v>
      </c>
      <c r="V18" s="1" t="s">
        <v>361</v>
      </c>
    </row>
    <row r="19" spans="1:22" x14ac:dyDescent="0.3">
      <c r="A19" s="22">
        <f t="shared" si="1"/>
        <v>17</v>
      </c>
      <c r="B19" s="17" t="s">
        <v>6</v>
      </c>
      <c r="C19" s="17" t="s">
        <v>22</v>
      </c>
      <c r="D19" s="11">
        <v>0</v>
      </c>
      <c r="E19" s="12"/>
      <c r="F19" s="11">
        <v>3156</v>
      </c>
      <c r="G19" s="12"/>
      <c r="H19" s="11">
        <f t="shared" si="2"/>
        <v>3613.62</v>
      </c>
      <c r="I19" s="12"/>
      <c r="J19" s="11">
        <v>4656</v>
      </c>
      <c r="K19" s="12"/>
      <c r="L19" s="11">
        <v>9240</v>
      </c>
      <c r="M19" s="12"/>
      <c r="N19" s="20">
        <v>150</v>
      </c>
      <c r="Q19" s="32" t="s">
        <v>22</v>
      </c>
      <c r="R19" s="32" t="s">
        <v>52</v>
      </c>
      <c r="S19" s="33" t="s">
        <v>87</v>
      </c>
      <c r="T19" s="33" t="s">
        <v>131</v>
      </c>
      <c r="U19" s="33" t="s">
        <v>166</v>
      </c>
      <c r="V19" s="1" t="s">
        <v>362</v>
      </c>
    </row>
    <row r="20" spans="1:22" x14ac:dyDescent="0.3">
      <c r="A20" s="22">
        <f t="shared" si="1"/>
        <v>18</v>
      </c>
      <c r="B20" s="17" t="s">
        <v>6</v>
      </c>
      <c r="C20" s="17" t="s">
        <v>23</v>
      </c>
      <c r="D20" s="11">
        <v>0</v>
      </c>
      <c r="E20" s="12"/>
      <c r="F20" s="11">
        <v>4460</v>
      </c>
      <c r="G20" s="12"/>
      <c r="H20" s="11">
        <f t="shared" si="2"/>
        <v>5106.7</v>
      </c>
      <c r="I20" s="12"/>
      <c r="J20" s="11">
        <v>6630</v>
      </c>
      <c r="K20" s="12"/>
      <c r="L20" s="11">
        <v>12312</v>
      </c>
      <c r="M20" s="12"/>
      <c r="N20" s="20">
        <v>150</v>
      </c>
      <c r="Q20" s="32" t="s">
        <v>23</v>
      </c>
      <c r="R20" s="32" t="s">
        <v>53</v>
      </c>
      <c r="S20" s="33" t="s">
        <v>88</v>
      </c>
      <c r="T20" s="33" t="s">
        <v>132</v>
      </c>
      <c r="U20" s="33" t="s">
        <v>167</v>
      </c>
      <c r="V20" s="1" t="s">
        <v>369</v>
      </c>
    </row>
    <row r="21" spans="1:22" x14ac:dyDescent="0.3">
      <c r="A21" s="22">
        <f t="shared" si="1"/>
        <v>19</v>
      </c>
      <c r="B21" s="17" t="s">
        <v>6</v>
      </c>
      <c r="C21" s="17" t="s">
        <v>24</v>
      </c>
      <c r="D21" s="11">
        <v>0</v>
      </c>
      <c r="E21" s="12"/>
      <c r="F21" s="11">
        <v>6906</v>
      </c>
      <c r="G21" s="12"/>
      <c r="H21" s="11">
        <f t="shared" si="2"/>
        <v>7907.37</v>
      </c>
      <c r="I21" s="12"/>
      <c r="J21" s="11">
        <v>11352</v>
      </c>
      <c r="K21" s="12"/>
      <c r="L21" s="11">
        <v>18156</v>
      </c>
      <c r="M21" s="12"/>
      <c r="N21" s="20">
        <v>150</v>
      </c>
      <c r="Q21" s="32" t="s">
        <v>24</v>
      </c>
      <c r="R21" s="32" t="s">
        <v>54</v>
      </c>
      <c r="S21" s="33" t="s">
        <v>89</v>
      </c>
      <c r="T21" s="33" t="s">
        <v>133</v>
      </c>
      <c r="U21" s="33" t="s">
        <v>168</v>
      </c>
      <c r="V21" s="1" t="s">
        <v>370</v>
      </c>
    </row>
    <row r="22" spans="1:22" x14ac:dyDescent="0.3">
      <c r="A22" s="22">
        <f t="shared" si="1"/>
        <v>20</v>
      </c>
      <c r="B22" s="17" t="s">
        <v>6</v>
      </c>
      <c r="C22" s="17" t="s">
        <v>25</v>
      </c>
      <c r="D22" s="11">
        <v>0</v>
      </c>
      <c r="E22" s="12"/>
      <c r="F22" s="11">
        <v>9474</v>
      </c>
      <c r="G22" s="12"/>
      <c r="H22" s="11">
        <f t="shared" si="2"/>
        <v>10847.73</v>
      </c>
      <c r="I22" s="12"/>
      <c r="J22" s="11">
        <v>14130</v>
      </c>
      <c r="K22" s="12"/>
      <c r="L22" s="11">
        <v>22104</v>
      </c>
      <c r="M22" s="12"/>
      <c r="N22" s="20">
        <v>150</v>
      </c>
      <c r="Q22" s="32" t="s">
        <v>25</v>
      </c>
      <c r="R22" s="32" t="s">
        <v>55</v>
      </c>
      <c r="S22" s="33" t="s">
        <v>90</v>
      </c>
      <c r="T22" s="33" t="s">
        <v>134</v>
      </c>
      <c r="U22" s="33" t="s">
        <v>169</v>
      </c>
      <c r="V22" s="1" t="s">
        <v>371</v>
      </c>
    </row>
    <row r="23" spans="1:22" x14ac:dyDescent="0.3">
      <c r="A23" s="22">
        <f t="shared" si="1"/>
        <v>21</v>
      </c>
      <c r="B23" s="17" t="s">
        <v>6</v>
      </c>
      <c r="C23" s="17" t="s">
        <v>26</v>
      </c>
      <c r="D23" s="11">
        <v>0</v>
      </c>
      <c r="E23" s="12"/>
      <c r="F23" s="11">
        <v>11130</v>
      </c>
      <c r="G23" s="12"/>
      <c r="H23" s="11">
        <f t="shared" si="2"/>
        <v>12743.85</v>
      </c>
      <c r="I23" s="12"/>
      <c r="J23" s="11">
        <v>16578</v>
      </c>
      <c r="K23" s="12"/>
      <c r="L23" s="11">
        <v>25200</v>
      </c>
      <c r="M23" s="12"/>
      <c r="N23" s="20">
        <v>150</v>
      </c>
      <c r="Q23" s="32" t="s">
        <v>26</v>
      </c>
      <c r="R23" s="32" t="s">
        <v>56</v>
      </c>
      <c r="S23" s="33" t="s">
        <v>91</v>
      </c>
      <c r="T23" s="33" t="s">
        <v>135</v>
      </c>
      <c r="U23" s="33" t="s">
        <v>170</v>
      </c>
      <c r="V23" s="1" t="s">
        <v>372</v>
      </c>
    </row>
    <row r="24" spans="1:22" x14ac:dyDescent="0.3">
      <c r="A24" s="22">
        <f t="shared" si="1"/>
        <v>22</v>
      </c>
      <c r="B24" s="17" t="s">
        <v>6</v>
      </c>
      <c r="C24" s="17" t="s">
        <v>27</v>
      </c>
      <c r="D24" s="11">
        <v>0</v>
      </c>
      <c r="E24" s="12"/>
      <c r="F24" s="11">
        <v>5448</v>
      </c>
      <c r="G24" s="12"/>
      <c r="H24" s="11">
        <f t="shared" si="2"/>
        <v>6237.96</v>
      </c>
      <c r="I24" s="12"/>
      <c r="J24" s="11">
        <v>7452</v>
      </c>
      <c r="K24" s="12"/>
      <c r="L24" s="11">
        <v>14076</v>
      </c>
      <c r="M24" s="12"/>
      <c r="N24" s="20">
        <v>150</v>
      </c>
      <c r="Q24" s="32" t="s">
        <v>27</v>
      </c>
      <c r="R24" s="32" t="s">
        <v>57</v>
      </c>
      <c r="S24" s="33" t="s">
        <v>92</v>
      </c>
      <c r="T24" s="33" t="s">
        <v>136</v>
      </c>
      <c r="U24" s="33" t="s">
        <v>171</v>
      </c>
      <c r="V24" s="1" t="s">
        <v>373</v>
      </c>
    </row>
    <row r="25" spans="1:22" x14ac:dyDescent="0.3">
      <c r="A25" s="22">
        <f t="shared" si="1"/>
        <v>23</v>
      </c>
      <c r="B25" s="17" t="s">
        <v>6</v>
      </c>
      <c r="C25" s="17" t="s">
        <v>28</v>
      </c>
      <c r="D25" s="11">
        <v>0</v>
      </c>
      <c r="E25" s="12"/>
      <c r="F25" s="11">
        <v>828</v>
      </c>
      <c r="G25" s="12"/>
      <c r="H25" s="11">
        <f t="shared" si="2"/>
        <v>948.06000000000006</v>
      </c>
      <c r="I25" s="12"/>
      <c r="J25" s="11">
        <v>1242</v>
      </c>
      <c r="K25" s="12"/>
      <c r="L25" s="11">
        <v>2556</v>
      </c>
      <c r="M25" s="12"/>
      <c r="N25" s="20">
        <v>150</v>
      </c>
      <c r="Q25" s="32" t="s">
        <v>28</v>
      </c>
      <c r="R25" s="32" t="s">
        <v>58</v>
      </c>
      <c r="S25" s="33" t="s">
        <v>93</v>
      </c>
      <c r="T25" s="33" t="s">
        <v>137</v>
      </c>
      <c r="U25" s="33" t="s">
        <v>172</v>
      </c>
      <c r="V25" s="1" t="s">
        <v>374</v>
      </c>
    </row>
    <row r="26" spans="1:22" x14ac:dyDescent="0.3">
      <c r="A26" s="22">
        <f t="shared" si="1"/>
        <v>24</v>
      </c>
      <c r="B26" s="17" t="s">
        <v>6</v>
      </c>
      <c r="C26" s="17" t="s">
        <v>29</v>
      </c>
      <c r="D26" s="11">
        <v>0</v>
      </c>
      <c r="E26" s="12"/>
      <c r="F26" s="11">
        <v>0</v>
      </c>
      <c r="G26" s="12"/>
      <c r="H26" s="11">
        <v>0</v>
      </c>
      <c r="I26" s="12"/>
      <c r="J26" s="11">
        <v>0</v>
      </c>
      <c r="K26" s="12"/>
      <c r="L26" s="11">
        <v>0</v>
      </c>
      <c r="M26" s="12"/>
      <c r="N26" s="20">
        <v>150</v>
      </c>
      <c r="Q26" s="32" t="s">
        <v>29</v>
      </c>
      <c r="R26" s="32" t="s">
        <v>59</v>
      </c>
      <c r="S26" s="33" t="s">
        <v>94</v>
      </c>
      <c r="T26" s="33" t="s">
        <v>138</v>
      </c>
      <c r="U26" s="33" t="s">
        <v>61</v>
      </c>
      <c r="V26" s="1" t="s">
        <v>375</v>
      </c>
    </row>
    <row r="27" spans="1:22" x14ac:dyDescent="0.3">
      <c r="A27" s="22">
        <f t="shared" si="1"/>
        <v>25</v>
      </c>
      <c r="B27" s="17" t="s">
        <v>6</v>
      </c>
      <c r="C27" s="17" t="s">
        <v>30</v>
      </c>
      <c r="D27" s="11">
        <v>0</v>
      </c>
      <c r="E27" s="12"/>
      <c r="F27" s="11">
        <v>0</v>
      </c>
      <c r="G27" s="12"/>
      <c r="H27" s="11">
        <v>0</v>
      </c>
      <c r="I27" s="12"/>
      <c r="J27" s="11">
        <v>0</v>
      </c>
      <c r="K27" s="12"/>
      <c r="L27" s="11">
        <v>0</v>
      </c>
      <c r="M27" s="12"/>
      <c r="N27" s="20">
        <v>150</v>
      </c>
      <c r="Q27" s="32" t="s">
        <v>30</v>
      </c>
      <c r="R27" s="32" t="s">
        <v>60</v>
      </c>
      <c r="S27" s="33" t="s">
        <v>95</v>
      </c>
      <c r="T27" s="33" t="s">
        <v>139</v>
      </c>
      <c r="U27" s="33" t="s">
        <v>28</v>
      </c>
      <c r="V27" s="1" t="s">
        <v>376</v>
      </c>
    </row>
    <row r="28" spans="1:22" x14ac:dyDescent="0.3">
      <c r="A28" s="22">
        <f t="shared" si="1"/>
        <v>26</v>
      </c>
      <c r="B28" s="17" t="s">
        <v>6</v>
      </c>
      <c r="C28" s="17" t="s">
        <v>31</v>
      </c>
      <c r="D28" s="11">
        <v>0</v>
      </c>
      <c r="E28" s="12"/>
      <c r="F28" s="11">
        <v>0</v>
      </c>
      <c r="G28" s="12"/>
      <c r="H28" s="11">
        <v>0</v>
      </c>
      <c r="I28" s="12"/>
      <c r="J28" s="11">
        <v>0</v>
      </c>
      <c r="K28" s="12"/>
      <c r="L28" s="11">
        <v>0</v>
      </c>
      <c r="M28" s="12"/>
      <c r="N28" s="20">
        <v>150</v>
      </c>
      <c r="Q28" s="32" t="s">
        <v>31</v>
      </c>
      <c r="R28" s="32" t="s">
        <v>61</v>
      </c>
      <c r="S28" s="33" t="s">
        <v>96</v>
      </c>
      <c r="T28" s="33" t="s">
        <v>140</v>
      </c>
      <c r="V28" s="1" t="s">
        <v>377</v>
      </c>
    </row>
    <row r="29" spans="1:22" x14ac:dyDescent="0.3">
      <c r="A29" s="22">
        <f t="shared" si="1"/>
        <v>27</v>
      </c>
      <c r="B29" s="17" t="s">
        <v>6</v>
      </c>
      <c r="C29" s="17" t="s">
        <v>32</v>
      </c>
      <c r="D29" s="11">
        <v>0</v>
      </c>
      <c r="E29" s="12"/>
      <c r="F29" s="11">
        <v>0</v>
      </c>
      <c r="G29" s="12"/>
      <c r="H29" s="11">
        <v>0</v>
      </c>
      <c r="I29" s="12"/>
      <c r="J29" s="11">
        <v>0</v>
      </c>
      <c r="K29" s="12"/>
      <c r="L29" s="11">
        <v>0</v>
      </c>
      <c r="M29" s="12"/>
      <c r="N29" s="20">
        <v>150</v>
      </c>
      <c r="Q29" s="32" t="s">
        <v>32</v>
      </c>
      <c r="R29" s="32" t="s">
        <v>62</v>
      </c>
      <c r="S29" s="33" t="s">
        <v>97</v>
      </c>
      <c r="T29" s="33" t="s">
        <v>141</v>
      </c>
      <c r="V29" s="1" t="s">
        <v>363</v>
      </c>
    </row>
    <row r="30" spans="1:22" ht="15" thickBot="1" x14ac:dyDescent="0.35">
      <c r="A30" s="4">
        <f t="shared" si="1"/>
        <v>28</v>
      </c>
      <c r="B30" s="18" t="s">
        <v>6</v>
      </c>
      <c r="C30" s="18" t="s">
        <v>33</v>
      </c>
      <c r="D30" s="13">
        <v>0</v>
      </c>
      <c r="E30" s="14"/>
      <c r="F30" s="13">
        <v>0</v>
      </c>
      <c r="G30" s="14"/>
      <c r="H30" s="13">
        <v>0</v>
      </c>
      <c r="I30" s="14"/>
      <c r="J30" s="13">
        <v>0</v>
      </c>
      <c r="K30" s="14"/>
      <c r="L30" s="13">
        <v>0</v>
      </c>
      <c r="M30" s="14"/>
      <c r="N30" s="20">
        <v>150</v>
      </c>
      <c r="Q30" s="32" t="s">
        <v>33</v>
      </c>
      <c r="R30" s="32" t="s">
        <v>63</v>
      </c>
      <c r="S30" s="33" t="s">
        <v>98</v>
      </c>
      <c r="T30" s="33" t="s">
        <v>142</v>
      </c>
      <c r="V30" s="1" t="s">
        <v>364</v>
      </c>
    </row>
    <row r="31" spans="1:22" x14ac:dyDescent="0.3">
      <c r="A31" s="22">
        <f>ROW()-2</f>
        <v>29</v>
      </c>
      <c r="B31" s="16" t="s">
        <v>36</v>
      </c>
      <c r="C31" s="16" t="s">
        <v>37</v>
      </c>
      <c r="D31" s="9">
        <v>430</v>
      </c>
      <c r="E31" s="10">
        <v>60</v>
      </c>
      <c r="F31" s="9">
        <v>515</v>
      </c>
      <c r="G31" s="10">
        <v>70</v>
      </c>
      <c r="H31" s="9">
        <v>515</v>
      </c>
      <c r="I31" s="10">
        <v>70</v>
      </c>
      <c r="J31" s="9">
        <v>860</v>
      </c>
      <c r="K31" s="10">
        <v>85</v>
      </c>
      <c r="L31" s="9">
        <v>1625</v>
      </c>
      <c r="M31" s="10">
        <v>110</v>
      </c>
      <c r="N31" s="20">
        <v>150</v>
      </c>
      <c r="R31" s="32" t="s">
        <v>64</v>
      </c>
      <c r="S31" s="33" t="s">
        <v>99</v>
      </c>
      <c r="T31" s="33" t="s">
        <v>143</v>
      </c>
      <c r="V31" s="1" t="s">
        <v>365</v>
      </c>
    </row>
    <row r="32" spans="1:22" x14ac:dyDescent="0.3">
      <c r="A32" s="22">
        <f t="shared" ref="A32:A64" si="3">ROW()-2</f>
        <v>30</v>
      </c>
      <c r="B32" s="16" t="s">
        <v>36</v>
      </c>
      <c r="C32" s="16" t="s">
        <v>38</v>
      </c>
      <c r="D32" s="9">
        <v>545</v>
      </c>
      <c r="E32" s="10">
        <v>65</v>
      </c>
      <c r="F32" s="9">
        <v>605</v>
      </c>
      <c r="G32" s="10">
        <v>80</v>
      </c>
      <c r="H32" s="9">
        <v>605</v>
      </c>
      <c r="I32" s="10">
        <v>80</v>
      </c>
      <c r="J32" s="9">
        <v>1110</v>
      </c>
      <c r="K32" s="10">
        <v>105</v>
      </c>
      <c r="L32" s="9">
        <v>2065</v>
      </c>
      <c r="M32" s="10">
        <v>130</v>
      </c>
      <c r="N32" s="20">
        <v>150</v>
      </c>
      <c r="R32" s="32" t="s">
        <v>65</v>
      </c>
      <c r="S32" s="33" t="s">
        <v>100</v>
      </c>
      <c r="T32" s="33" t="s">
        <v>144</v>
      </c>
      <c r="V32" s="1" t="s">
        <v>366</v>
      </c>
    </row>
    <row r="33" spans="1:22" x14ac:dyDescent="0.3">
      <c r="A33" s="22">
        <f t="shared" si="3"/>
        <v>31</v>
      </c>
      <c r="B33" s="16" t="s">
        <v>36</v>
      </c>
      <c r="C33" s="16" t="s">
        <v>39</v>
      </c>
      <c r="D33" s="9">
        <v>545</v>
      </c>
      <c r="E33" s="10">
        <v>65</v>
      </c>
      <c r="F33" s="9">
        <v>605</v>
      </c>
      <c r="G33" s="10">
        <v>100</v>
      </c>
      <c r="H33" s="9">
        <v>605</v>
      </c>
      <c r="I33" s="10">
        <v>80</v>
      </c>
      <c r="J33" s="9">
        <v>1110</v>
      </c>
      <c r="K33" s="10">
        <v>105</v>
      </c>
      <c r="L33" s="9">
        <v>2065</v>
      </c>
      <c r="M33" s="10">
        <v>130</v>
      </c>
      <c r="N33" s="20">
        <v>150</v>
      </c>
      <c r="R33" s="32" t="s">
        <v>66</v>
      </c>
      <c r="S33" s="33" t="s">
        <v>101</v>
      </c>
      <c r="T33" s="33" t="s">
        <v>145</v>
      </c>
      <c r="V33" s="1" t="s">
        <v>367</v>
      </c>
    </row>
    <row r="34" spans="1:22" x14ac:dyDescent="0.3">
      <c r="A34" s="22">
        <f t="shared" si="3"/>
        <v>32</v>
      </c>
      <c r="B34" s="16" t="s">
        <v>36</v>
      </c>
      <c r="C34" s="16" t="s">
        <v>40</v>
      </c>
      <c r="D34" s="9">
        <v>580</v>
      </c>
      <c r="E34" s="10">
        <v>65</v>
      </c>
      <c r="F34" s="9">
        <v>655</v>
      </c>
      <c r="G34" s="10">
        <v>80</v>
      </c>
      <c r="H34" s="9">
        <v>655</v>
      </c>
      <c r="I34" s="10">
        <v>80</v>
      </c>
      <c r="J34" s="9">
        <v>1185</v>
      </c>
      <c r="K34" s="10">
        <v>105</v>
      </c>
      <c r="L34" s="9">
        <v>230</v>
      </c>
      <c r="M34" s="10">
        <v>130</v>
      </c>
      <c r="N34" s="20">
        <v>150</v>
      </c>
      <c r="R34" s="32" t="s">
        <v>67</v>
      </c>
      <c r="S34" s="33" t="s">
        <v>102</v>
      </c>
      <c r="T34" s="33" t="s">
        <v>146</v>
      </c>
      <c r="V34" s="1" t="s">
        <v>368</v>
      </c>
    </row>
    <row r="35" spans="1:22" x14ac:dyDescent="0.3">
      <c r="A35" s="22">
        <f t="shared" si="3"/>
        <v>33</v>
      </c>
      <c r="B35" s="16" t="s">
        <v>36</v>
      </c>
      <c r="C35" s="16" t="s">
        <v>41</v>
      </c>
      <c r="D35" s="9">
        <v>780</v>
      </c>
      <c r="E35" s="10">
        <v>80</v>
      </c>
      <c r="F35" s="9">
        <v>860</v>
      </c>
      <c r="G35" s="10">
        <v>85</v>
      </c>
      <c r="H35" s="9">
        <v>860</v>
      </c>
      <c r="I35" s="10">
        <v>85</v>
      </c>
      <c r="J35" s="9">
        <v>1360</v>
      </c>
      <c r="K35" s="10">
        <v>135</v>
      </c>
      <c r="L35" s="9">
        <v>2710</v>
      </c>
      <c r="M35" s="10">
        <v>170</v>
      </c>
      <c r="N35" s="20">
        <v>150</v>
      </c>
      <c r="R35" s="32" t="s">
        <v>68</v>
      </c>
      <c r="S35" s="33" t="s">
        <v>103</v>
      </c>
      <c r="T35" s="33" t="s">
        <v>147</v>
      </c>
      <c r="V35" s="1" t="s">
        <v>378</v>
      </c>
    </row>
    <row r="36" spans="1:22" x14ac:dyDescent="0.3">
      <c r="A36" s="22">
        <f t="shared" si="3"/>
        <v>34</v>
      </c>
      <c r="B36" s="16" t="s">
        <v>36</v>
      </c>
      <c r="C36" s="16" t="s">
        <v>42</v>
      </c>
      <c r="D36" s="9">
        <v>1275</v>
      </c>
      <c r="E36" s="10">
        <v>105</v>
      </c>
      <c r="F36" s="9">
        <v>1415</v>
      </c>
      <c r="G36" s="10">
        <v>110</v>
      </c>
      <c r="H36" s="9">
        <v>1415</v>
      </c>
      <c r="I36" s="10">
        <v>110</v>
      </c>
      <c r="J36" s="9">
        <v>2095</v>
      </c>
      <c r="K36" s="10">
        <v>155</v>
      </c>
      <c r="L36" s="9">
        <v>4310</v>
      </c>
      <c r="M36" s="10">
        <v>220</v>
      </c>
      <c r="N36" s="20">
        <v>150</v>
      </c>
      <c r="R36" s="32" t="s">
        <v>69</v>
      </c>
      <c r="S36" s="33" t="s">
        <v>104</v>
      </c>
      <c r="T36" s="33" t="s">
        <v>148</v>
      </c>
      <c r="V36" s="1" t="s">
        <v>379</v>
      </c>
    </row>
    <row r="37" spans="1:22" x14ac:dyDescent="0.3">
      <c r="A37" s="22">
        <f t="shared" si="3"/>
        <v>35</v>
      </c>
      <c r="B37" s="16" t="s">
        <v>36</v>
      </c>
      <c r="C37" s="16" t="s">
        <v>43</v>
      </c>
      <c r="D37" s="9">
        <v>1710</v>
      </c>
      <c r="E37" s="10">
        <v>145</v>
      </c>
      <c r="F37" s="9">
        <v>1920</v>
      </c>
      <c r="G37" s="10">
        <v>170</v>
      </c>
      <c r="H37" s="9">
        <v>1920</v>
      </c>
      <c r="I37" s="10">
        <v>170</v>
      </c>
      <c r="J37" s="9">
        <v>2960</v>
      </c>
      <c r="K37" s="10">
        <v>220</v>
      </c>
      <c r="L37" s="9">
        <v>4925</v>
      </c>
      <c r="M37" s="10">
        <v>255</v>
      </c>
      <c r="N37" s="20">
        <v>150</v>
      </c>
      <c r="R37" s="1" t="s">
        <v>70</v>
      </c>
      <c r="S37" s="33" t="s">
        <v>105</v>
      </c>
      <c r="T37" s="33" t="s">
        <v>149</v>
      </c>
      <c r="V37" s="1" t="s">
        <v>380</v>
      </c>
    </row>
    <row r="38" spans="1:22" x14ac:dyDescent="0.3">
      <c r="A38" s="22">
        <f t="shared" si="3"/>
        <v>36</v>
      </c>
      <c r="B38" s="16" t="s">
        <v>36</v>
      </c>
      <c r="C38" s="16" t="s">
        <v>44</v>
      </c>
      <c r="D38" s="9">
        <v>2440</v>
      </c>
      <c r="E38" s="10">
        <v>195</v>
      </c>
      <c r="F38" s="9">
        <v>2710</v>
      </c>
      <c r="G38" s="10">
        <v>220</v>
      </c>
      <c r="H38" s="9">
        <v>2710</v>
      </c>
      <c r="I38" s="10">
        <v>220</v>
      </c>
      <c r="J38" s="9">
        <v>3690</v>
      </c>
      <c r="K38" s="10">
        <v>275</v>
      </c>
      <c r="L38" s="9">
        <v>7640</v>
      </c>
      <c r="M38" s="10">
        <v>495</v>
      </c>
      <c r="N38" s="20">
        <v>150</v>
      </c>
      <c r="S38" s="33" t="s">
        <v>106</v>
      </c>
      <c r="V38" s="1" t="s">
        <v>381</v>
      </c>
    </row>
    <row r="39" spans="1:22" x14ac:dyDescent="0.3">
      <c r="A39" s="22">
        <f t="shared" si="3"/>
        <v>37</v>
      </c>
      <c r="B39" s="16" t="s">
        <v>36</v>
      </c>
      <c r="C39" s="16" t="s">
        <v>45</v>
      </c>
      <c r="D39" s="9">
        <v>2880</v>
      </c>
      <c r="E39" s="10">
        <v>240</v>
      </c>
      <c r="F39" s="9">
        <v>3205</v>
      </c>
      <c r="G39" s="10">
        <v>275</v>
      </c>
      <c r="H39" s="9">
        <v>3205</v>
      </c>
      <c r="I39" s="10">
        <v>275</v>
      </c>
      <c r="J39" s="9">
        <v>4195</v>
      </c>
      <c r="K39" s="10">
        <v>325</v>
      </c>
      <c r="L39" s="9">
        <v>8640</v>
      </c>
      <c r="M39" s="10">
        <v>565</v>
      </c>
      <c r="N39" s="20">
        <v>150</v>
      </c>
      <c r="S39" s="33" t="s">
        <v>107</v>
      </c>
      <c r="V39" s="1" t="s">
        <v>382</v>
      </c>
    </row>
    <row r="40" spans="1:22" x14ac:dyDescent="0.3">
      <c r="A40" s="22">
        <f t="shared" si="3"/>
        <v>38</v>
      </c>
      <c r="B40" s="16" t="s">
        <v>36</v>
      </c>
      <c r="C40" s="16" t="s">
        <v>46</v>
      </c>
      <c r="D40" s="9">
        <v>3330</v>
      </c>
      <c r="E40" s="10">
        <v>300</v>
      </c>
      <c r="F40" s="9">
        <v>3690</v>
      </c>
      <c r="G40" s="10">
        <v>325</v>
      </c>
      <c r="H40" s="9">
        <v>3690</v>
      </c>
      <c r="I40" s="10">
        <v>325</v>
      </c>
      <c r="J40" s="9">
        <v>4705</v>
      </c>
      <c r="K40" s="10">
        <v>395</v>
      </c>
      <c r="L40" s="9">
        <v>9855</v>
      </c>
      <c r="M40" s="10">
        <v>970</v>
      </c>
      <c r="N40" s="20">
        <v>150</v>
      </c>
      <c r="S40" s="33" t="s">
        <v>108</v>
      </c>
      <c r="V40" s="1" t="s">
        <v>383</v>
      </c>
    </row>
    <row r="41" spans="1:22" x14ac:dyDescent="0.3">
      <c r="A41" s="22">
        <f t="shared" si="3"/>
        <v>39</v>
      </c>
      <c r="B41" s="16" t="s">
        <v>36</v>
      </c>
      <c r="C41" s="16" t="s">
        <v>47</v>
      </c>
      <c r="D41" s="9">
        <v>3055</v>
      </c>
      <c r="E41" s="10">
        <v>300</v>
      </c>
      <c r="F41" s="9">
        <v>3385</v>
      </c>
      <c r="G41" s="10">
        <v>325</v>
      </c>
      <c r="H41" s="9">
        <v>3385</v>
      </c>
      <c r="I41" s="10">
        <v>325</v>
      </c>
      <c r="J41" s="9">
        <v>4070</v>
      </c>
      <c r="K41" s="10">
        <v>395</v>
      </c>
      <c r="L41" s="9">
        <v>8995</v>
      </c>
      <c r="M41" s="10">
        <v>670</v>
      </c>
      <c r="N41" s="20">
        <v>150</v>
      </c>
      <c r="S41" s="33" t="s">
        <v>109</v>
      </c>
      <c r="V41" s="1" t="s">
        <v>384</v>
      </c>
    </row>
    <row r="42" spans="1:22" x14ac:dyDescent="0.3">
      <c r="A42" s="22">
        <f t="shared" si="3"/>
        <v>40</v>
      </c>
      <c r="B42" s="16" t="s">
        <v>36</v>
      </c>
      <c r="C42" s="16" t="s">
        <v>48</v>
      </c>
      <c r="D42" s="9">
        <v>3770</v>
      </c>
      <c r="E42" s="10">
        <v>385</v>
      </c>
      <c r="F42" s="9">
        <v>4195</v>
      </c>
      <c r="G42" s="10">
        <v>430</v>
      </c>
      <c r="H42" s="9">
        <v>4195</v>
      </c>
      <c r="I42" s="10">
        <v>430</v>
      </c>
      <c r="J42" s="9">
        <v>5175</v>
      </c>
      <c r="K42" s="10">
        <v>430</v>
      </c>
      <c r="L42" s="9">
        <v>9855</v>
      </c>
      <c r="M42" s="10">
        <v>765</v>
      </c>
      <c r="N42" s="20">
        <v>150</v>
      </c>
      <c r="S42" s="33" t="s">
        <v>110</v>
      </c>
      <c r="V42" s="1" t="s">
        <v>385</v>
      </c>
    </row>
    <row r="43" spans="1:22" x14ac:dyDescent="0.3">
      <c r="A43" s="22">
        <f t="shared" si="3"/>
        <v>41</v>
      </c>
      <c r="B43" s="16" t="s">
        <v>36</v>
      </c>
      <c r="C43" s="16" t="s">
        <v>49</v>
      </c>
      <c r="D43" s="9">
        <v>3770</v>
      </c>
      <c r="E43" s="10">
        <v>385</v>
      </c>
      <c r="F43" s="9">
        <v>4195</v>
      </c>
      <c r="G43" s="10">
        <v>430</v>
      </c>
      <c r="H43" s="9">
        <v>4195</v>
      </c>
      <c r="I43" s="10">
        <v>430</v>
      </c>
      <c r="J43" s="9">
        <v>4925</v>
      </c>
      <c r="K43" s="10">
        <v>565</v>
      </c>
      <c r="L43" s="9">
        <v>12320</v>
      </c>
      <c r="M43" s="10">
        <v>860</v>
      </c>
      <c r="N43" s="20">
        <v>150</v>
      </c>
      <c r="S43" s="33" t="s">
        <v>28</v>
      </c>
      <c r="V43" s="1" t="s">
        <v>386</v>
      </c>
    </row>
    <row r="44" spans="1:22" x14ac:dyDescent="0.3">
      <c r="A44" s="22">
        <f t="shared" si="3"/>
        <v>42</v>
      </c>
      <c r="B44" s="16" t="s">
        <v>36</v>
      </c>
      <c r="C44" s="16" t="s">
        <v>50</v>
      </c>
      <c r="D44" s="9">
        <v>840</v>
      </c>
      <c r="E44" s="10">
        <v>115</v>
      </c>
      <c r="F44" s="9">
        <v>915</v>
      </c>
      <c r="G44" s="10">
        <v>135</v>
      </c>
      <c r="H44" s="9">
        <v>915</v>
      </c>
      <c r="I44" s="10">
        <v>135</v>
      </c>
      <c r="J44" s="9">
        <v>1535</v>
      </c>
      <c r="K44" s="10">
        <v>170</v>
      </c>
      <c r="L44" s="9">
        <v>3205</v>
      </c>
      <c r="M44" s="10">
        <v>220</v>
      </c>
      <c r="N44" s="20">
        <v>150</v>
      </c>
      <c r="S44" s="33" t="s">
        <v>111</v>
      </c>
      <c r="V44" s="1" t="s">
        <v>388</v>
      </c>
    </row>
    <row r="45" spans="1:22" x14ac:dyDescent="0.3">
      <c r="A45" s="22">
        <f t="shared" si="3"/>
        <v>43</v>
      </c>
      <c r="B45" s="16" t="s">
        <v>36</v>
      </c>
      <c r="C45" s="16" t="s">
        <v>51</v>
      </c>
      <c r="D45" s="9">
        <v>1085</v>
      </c>
      <c r="E45" s="10">
        <v>135</v>
      </c>
      <c r="F45" s="9">
        <v>1210</v>
      </c>
      <c r="G45" s="10">
        <v>155</v>
      </c>
      <c r="H45" s="9">
        <v>1210</v>
      </c>
      <c r="I45" s="10">
        <v>155</v>
      </c>
      <c r="J45" s="9">
        <v>2215</v>
      </c>
      <c r="K45" s="10">
        <v>210</v>
      </c>
      <c r="L45" s="9">
        <v>4140</v>
      </c>
      <c r="M45" s="10">
        <v>255</v>
      </c>
      <c r="N45" s="20">
        <v>150</v>
      </c>
      <c r="S45" s="33" t="s">
        <v>112</v>
      </c>
      <c r="V45" s="1" t="s">
        <v>389</v>
      </c>
    </row>
    <row r="46" spans="1:22" x14ac:dyDescent="0.3">
      <c r="A46" s="22">
        <f t="shared" si="3"/>
        <v>44</v>
      </c>
      <c r="B46" s="16" t="s">
        <v>36</v>
      </c>
      <c r="C46" s="16" t="s">
        <v>52</v>
      </c>
      <c r="D46" s="9">
        <v>1085</v>
      </c>
      <c r="E46" s="10">
        <v>135</v>
      </c>
      <c r="F46" s="9">
        <v>1210</v>
      </c>
      <c r="G46" s="10">
        <v>155</v>
      </c>
      <c r="H46" s="9">
        <v>1210</v>
      </c>
      <c r="I46" s="10">
        <v>155</v>
      </c>
      <c r="J46" s="9">
        <v>2215</v>
      </c>
      <c r="K46" s="10">
        <v>210</v>
      </c>
      <c r="L46" s="9">
        <v>4140</v>
      </c>
      <c r="M46" s="10">
        <v>255</v>
      </c>
      <c r="N46" s="20">
        <v>150</v>
      </c>
      <c r="S46" s="33" t="s">
        <v>113</v>
      </c>
    </row>
    <row r="47" spans="1:22" x14ac:dyDescent="0.3">
      <c r="A47" s="22">
        <f t="shared" si="3"/>
        <v>45</v>
      </c>
      <c r="B47" s="16" t="s">
        <v>36</v>
      </c>
      <c r="C47" s="16" t="s">
        <v>53</v>
      </c>
      <c r="D47" s="9">
        <v>1170</v>
      </c>
      <c r="E47" s="10">
        <v>135</v>
      </c>
      <c r="F47" s="9">
        <v>1305</v>
      </c>
      <c r="G47" s="10">
        <v>155</v>
      </c>
      <c r="H47" s="9">
        <v>1305</v>
      </c>
      <c r="I47" s="10">
        <v>155</v>
      </c>
      <c r="J47" s="9">
        <v>2345</v>
      </c>
      <c r="K47" s="10">
        <v>210</v>
      </c>
      <c r="L47" s="9">
        <v>4635</v>
      </c>
      <c r="M47" s="10">
        <v>255</v>
      </c>
      <c r="N47" s="20">
        <v>150</v>
      </c>
      <c r="S47" s="33" t="s">
        <v>114</v>
      </c>
    </row>
    <row r="48" spans="1:22" x14ac:dyDescent="0.3">
      <c r="A48" s="22">
        <f t="shared" si="3"/>
        <v>46</v>
      </c>
      <c r="B48" s="16" t="s">
        <v>36</v>
      </c>
      <c r="C48" s="16" t="s">
        <v>54</v>
      </c>
      <c r="D48" s="9">
        <v>1555</v>
      </c>
      <c r="E48" s="10">
        <v>135</v>
      </c>
      <c r="F48" s="9">
        <v>1730</v>
      </c>
      <c r="G48" s="10">
        <v>155</v>
      </c>
      <c r="H48" s="9">
        <v>1730</v>
      </c>
      <c r="I48" s="10">
        <v>155</v>
      </c>
      <c r="J48" s="9">
        <v>2710</v>
      </c>
      <c r="K48" s="10">
        <v>210</v>
      </c>
      <c r="L48" s="9">
        <v>5420</v>
      </c>
      <c r="M48" s="10">
        <v>255</v>
      </c>
      <c r="N48" s="20">
        <v>150</v>
      </c>
    </row>
    <row r="49" spans="1:14" x14ac:dyDescent="0.3">
      <c r="A49" s="22">
        <f t="shared" si="3"/>
        <v>47</v>
      </c>
      <c r="B49" s="16" t="s">
        <v>36</v>
      </c>
      <c r="C49" s="16" t="s">
        <v>55</v>
      </c>
      <c r="D49" s="9">
        <v>840</v>
      </c>
      <c r="E49" s="10">
        <v>115</v>
      </c>
      <c r="F49" s="9">
        <v>905</v>
      </c>
      <c r="G49" s="10">
        <v>135</v>
      </c>
      <c r="H49" s="9">
        <v>905</v>
      </c>
      <c r="I49" s="10">
        <v>135</v>
      </c>
      <c r="J49" s="9">
        <v>1535</v>
      </c>
      <c r="K49" s="10">
        <v>170</v>
      </c>
      <c r="L49" s="9">
        <v>3205</v>
      </c>
      <c r="M49" s="10">
        <v>220</v>
      </c>
      <c r="N49" s="20">
        <v>150</v>
      </c>
    </row>
    <row r="50" spans="1:14" x14ac:dyDescent="0.3">
      <c r="A50" s="22">
        <f t="shared" si="3"/>
        <v>48</v>
      </c>
      <c r="B50" s="16" t="s">
        <v>36</v>
      </c>
      <c r="C50" s="16" t="s">
        <v>56</v>
      </c>
      <c r="D50" s="9">
        <v>1085</v>
      </c>
      <c r="E50" s="10">
        <v>135</v>
      </c>
      <c r="F50" s="9">
        <v>1210</v>
      </c>
      <c r="G50" s="10">
        <v>155</v>
      </c>
      <c r="H50" s="9">
        <v>1210</v>
      </c>
      <c r="I50" s="10">
        <v>155</v>
      </c>
      <c r="J50" s="9">
        <v>2215</v>
      </c>
      <c r="K50" s="10">
        <v>210</v>
      </c>
      <c r="L50" s="9">
        <v>4140</v>
      </c>
      <c r="M50" s="10">
        <v>255</v>
      </c>
      <c r="N50" s="20">
        <v>150</v>
      </c>
    </row>
    <row r="51" spans="1:14" x14ac:dyDescent="0.3">
      <c r="A51" s="22">
        <f t="shared" si="3"/>
        <v>49</v>
      </c>
      <c r="B51" s="16" t="s">
        <v>36</v>
      </c>
      <c r="C51" s="16" t="s">
        <v>57</v>
      </c>
      <c r="D51" s="9">
        <v>1085</v>
      </c>
      <c r="E51" s="10">
        <v>135</v>
      </c>
      <c r="F51" s="9">
        <v>1210</v>
      </c>
      <c r="G51" s="10">
        <v>155</v>
      </c>
      <c r="H51" s="9">
        <v>1210</v>
      </c>
      <c r="I51" s="10">
        <v>155</v>
      </c>
      <c r="J51" s="9">
        <v>2215</v>
      </c>
      <c r="K51" s="10">
        <v>210</v>
      </c>
      <c r="L51" s="9">
        <v>4140</v>
      </c>
      <c r="M51" s="10">
        <v>255</v>
      </c>
      <c r="N51" s="20">
        <v>150</v>
      </c>
    </row>
    <row r="52" spans="1:14" x14ac:dyDescent="0.3">
      <c r="A52" s="22">
        <f t="shared" si="3"/>
        <v>50</v>
      </c>
      <c r="B52" s="16" t="s">
        <v>36</v>
      </c>
      <c r="C52" s="16" t="s">
        <v>58</v>
      </c>
      <c r="D52" s="9">
        <v>1170</v>
      </c>
      <c r="E52" s="10">
        <v>135</v>
      </c>
      <c r="F52" s="9">
        <v>1305</v>
      </c>
      <c r="G52" s="10">
        <v>155</v>
      </c>
      <c r="H52" s="9">
        <v>1305</v>
      </c>
      <c r="I52" s="10">
        <v>155</v>
      </c>
      <c r="J52" s="9">
        <v>2345</v>
      </c>
      <c r="K52" s="10">
        <v>210</v>
      </c>
      <c r="L52" s="9">
        <v>4635</v>
      </c>
      <c r="M52" s="10">
        <v>255</v>
      </c>
      <c r="N52" s="20">
        <v>150</v>
      </c>
    </row>
    <row r="53" spans="1:14" x14ac:dyDescent="0.3">
      <c r="A53" s="22">
        <f t="shared" si="3"/>
        <v>51</v>
      </c>
      <c r="B53" s="16" t="s">
        <v>36</v>
      </c>
      <c r="C53" s="16" t="s">
        <v>59</v>
      </c>
      <c r="D53" s="9">
        <v>1555</v>
      </c>
      <c r="E53" s="10">
        <v>135</v>
      </c>
      <c r="F53" s="9">
        <v>1730</v>
      </c>
      <c r="G53" s="10">
        <v>155</v>
      </c>
      <c r="H53" s="9">
        <v>1730</v>
      </c>
      <c r="I53" s="10">
        <v>155</v>
      </c>
      <c r="J53" s="9">
        <v>2710</v>
      </c>
      <c r="K53" s="10">
        <v>210</v>
      </c>
      <c r="L53" s="9">
        <v>5420</v>
      </c>
      <c r="M53" s="10">
        <v>255</v>
      </c>
      <c r="N53" s="20">
        <v>150</v>
      </c>
    </row>
    <row r="54" spans="1:14" x14ac:dyDescent="0.3">
      <c r="A54" s="22">
        <f t="shared" si="3"/>
        <v>52</v>
      </c>
      <c r="B54" s="16" t="s">
        <v>36</v>
      </c>
      <c r="C54" s="16" t="s">
        <v>60</v>
      </c>
      <c r="D54" s="9">
        <v>1555</v>
      </c>
      <c r="E54" s="10">
        <v>135</v>
      </c>
      <c r="F54" s="9">
        <v>1730</v>
      </c>
      <c r="G54" s="10">
        <v>170</v>
      </c>
      <c r="H54" s="9">
        <v>1730</v>
      </c>
      <c r="I54" s="10">
        <v>170</v>
      </c>
      <c r="J54" s="9">
        <v>2710</v>
      </c>
      <c r="K54" s="10">
        <v>275</v>
      </c>
      <c r="L54" s="9">
        <v>5420</v>
      </c>
      <c r="M54" s="10">
        <v>345</v>
      </c>
      <c r="N54" s="20">
        <v>150</v>
      </c>
    </row>
    <row r="55" spans="1:14" x14ac:dyDescent="0.3">
      <c r="A55" s="22">
        <f t="shared" si="3"/>
        <v>53</v>
      </c>
      <c r="B55" s="16" t="s">
        <v>36</v>
      </c>
      <c r="C55" s="16" t="s">
        <v>61</v>
      </c>
      <c r="D55" s="9">
        <v>4705</v>
      </c>
      <c r="E55" s="10">
        <v>375</v>
      </c>
      <c r="F55" s="9">
        <v>5220</v>
      </c>
      <c r="G55" s="10">
        <v>430</v>
      </c>
      <c r="H55" s="9">
        <v>5220</v>
      </c>
      <c r="I55" s="10">
        <v>430</v>
      </c>
      <c r="J55" s="9">
        <v>7780</v>
      </c>
      <c r="K55" s="10">
        <v>600</v>
      </c>
      <c r="L55" s="9">
        <v>14795</v>
      </c>
      <c r="M55" s="10">
        <v>1025</v>
      </c>
      <c r="N55" s="20">
        <v>150</v>
      </c>
    </row>
    <row r="56" spans="1:14" x14ac:dyDescent="0.3">
      <c r="A56" s="22">
        <f t="shared" si="3"/>
        <v>54</v>
      </c>
      <c r="B56" s="16" t="s">
        <v>36</v>
      </c>
      <c r="C56" s="16" t="s">
        <v>62</v>
      </c>
      <c r="D56" s="9">
        <v>2995</v>
      </c>
      <c r="E56" s="10">
        <v>275</v>
      </c>
      <c r="F56" s="9">
        <v>3335</v>
      </c>
      <c r="G56" s="10">
        <v>305</v>
      </c>
      <c r="H56" s="9">
        <v>3335</v>
      </c>
      <c r="I56" s="10">
        <v>305</v>
      </c>
      <c r="J56" s="9">
        <v>5220</v>
      </c>
      <c r="K56" s="10">
        <v>430</v>
      </c>
      <c r="L56" s="9">
        <v>10350</v>
      </c>
      <c r="M56" s="10">
        <v>685</v>
      </c>
      <c r="N56" s="20">
        <v>150</v>
      </c>
    </row>
    <row r="57" spans="1:14" x14ac:dyDescent="0.3">
      <c r="A57" s="22">
        <f t="shared" si="3"/>
        <v>55</v>
      </c>
      <c r="B57" s="16" t="s">
        <v>36</v>
      </c>
      <c r="C57" s="16" t="s">
        <v>63</v>
      </c>
      <c r="D57" s="9">
        <v>4705</v>
      </c>
      <c r="E57" s="10">
        <v>440</v>
      </c>
      <c r="F57" s="9">
        <v>5220</v>
      </c>
      <c r="G57" s="10">
        <v>480</v>
      </c>
      <c r="H57" s="9">
        <v>5220</v>
      </c>
      <c r="I57" s="10">
        <v>480</v>
      </c>
      <c r="J57" s="9">
        <v>8210</v>
      </c>
      <c r="K57" s="10">
        <v>515</v>
      </c>
      <c r="L57" s="9">
        <v>15055</v>
      </c>
      <c r="M57" s="10">
        <v>860</v>
      </c>
      <c r="N57" s="20">
        <v>150</v>
      </c>
    </row>
    <row r="58" spans="1:14" x14ac:dyDescent="0.3">
      <c r="A58" s="22">
        <f t="shared" si="3"/>
        <v>56</v>
      </c>
      <c r="B58" s="16" t="s">
        <v>36</v>
      </c>
      <c r="C58" s="16" t="s">
        <v>64</v>
      </c>
      <c r="D58" s="9">
        <v>3765</v>
      </c>
      <c r="E58" s="10">
        <v>395</v>
      </c>
      <c r="F58" s="9">
        <v>4275</v>
      </c>
      <c r="G58" s="10">
        <v>430</v>
      </c>
      <c r="H58" s="9">
        <v>4275</v>
      </c>
      <c r="I58" s="10">
        <v>430</v>
      </c>
      <c r="J58" s="9">
        <v>5985</v>
      </c>
      <c r="K58" s="10">
        <v>600</v>
      </c>
      <c r="L58" s="9">
        <v>11375</v>
      </c>
      <c r="M58" s="10">
        <v>860</v>
      </c>
      <c r="N58" s="20">
        <v>150</v>
      </c>
    </row>
    <row r="59" spans="1:14" x14ac:dyDescent="0.3">
      <c r="A59" s="22">
        <f t="shared" si="3"/>
        <v>57</v>
      </c>
      <c r="B59" s="16" t="s">
        <v>36</v>
      </c>
      <c r="C59" s="16" t="s">
        <v>65</v>
      </c>
      <c r="D59" s="9">
        <v>3765</v>
      </c>
      <c r="E59" s="10">
        <v>395</v>
      </c>
      <c r="F59" s="9">
        <v>4275</v>
      </c>
      <c r="G59" s="10">
        <v>430</v>
      </c>
      <c r="H59" s="9">
        <v>4275</v>
      </c>
      <c r="I59" s="10">
        <v>430</v>
      </c>
      <c r="J59" s="9">
        <v>5985</v>
      </c>
      <c r="K59" s="10">
        <v>600</v>
      </c>
      <c r="L59" s="9">
        <v>11375</v>
      </c>
      <c r="M59" s="10">
        <v>860</v>
      </c>
      <c r="N59" s="20">
        <v>150</v>
      </c>
    </row>
    <row r="60" spans="1:14" x14ac:dyDescent="0.3">
      <c r="A60" s="22">
        <f t="shared" si="3"/>
        <v>58</v>
      </c>
      <c r="B60" s="16" t="s">
        <v>36</v>
      </c>
      <c r="C60" s="16" t="s">
        <v>66</v>
      </c>
      <c r="D60" s="9">
        <v>5220</v>
      </c>
      <c r="E60" s="10">
        <v>515</v>
      </c>
      <c r="F60" s="9">
        <v>5820</v>
      </c>
      <c r="G60" s="10">
        <v>565</v>
      </c>
      <c r="H60" s="9">
        <v>5820</v>
      </c>
      <c r="I60" s="10">
        <v>565</v>
      </c>
      <c r="J60" s="9">
        <v>8640</v>
      </c>
      <c r="K60" s="10">
        <v>765</v>
      </c>
      <c r="L60" s="9">
        <v>16080</v>
      </c>
      <c r="M60" s="10">
        <v>1130</v>
      </c>
      <c r="N60" s="20">
        <v>150</v>
      </c>
    </row>
    <row r="61" spans="1:14" x14ac:dyDescent="0.3">
      <c r="A61" s="22">
        <f t="shared" si="3"/>
        <v>59</v>
      </c>
      <c r="B61" s="16" t="s">
        <v>36</v>
      </c>
      <c r="C61" s="16" t="s">
        <v>67</v>
      </c>
      <c r="D61" s="9">
        <v>5220</v>
      </c>
      <c r="E61" s="10">
        <v>515</v>
      </c>
      <c r="F61" s="9">
        <v>5820</v>
      </c>
      <c r="G61" s="10">
        <v>565</v>
      </c>
      <c r="H61" s="9">
        <v>5820</v>
      </c>
      <c r="I61" s="10">
        <v>565</v>
      </c>
      <c r="J61" s="9">
        <v>8640</v>
      </c>
      <c r="K61" s="10">
        <v>765</v>
      </c>
      <c r="L61" s="9">
        <v>16080</v>
      </c>
      <c r="M61" s="10">
        <v>1130</v>
      </c>
      <c r="N61" s="20">
        <v>150</v>
      </c>
    </row>
    <row r="62" spans="1:14" x14ac:dyDescent="0.3">
      <c r="A62" s="22">
        <f t="shared" si="3"/>
        <v>60</v>
      </c>
      <c r="B62" s="16" t="s">
        <v>36</v>
      </c>
      <c r="C62" s="16" t="s">
        <v>68</v>
      </c>
      <c r="D62" s="9">
        <v>5475</v>
      </c>
      <c r="E62" s="10">
        <v>515</v>
      </c>
      <c r="F62" s="9">
        <v>6155</v>
      </c>
      <c r="G62" s="10">
        <v>565</v>
      </c>
      <c r="H62" s="9">
        <v>6155</v>
      </c>
      <c r="I62" s="10">
        <v>565</v>
      </c>
      <c r="J62" s="9">
        <v>9080</v>
      </c>
      <c r="K62" s="10">
        <v>765</v>
      </c>
      <c r="L62" s="9">
        <v>16935</v>
      </c>
      <c r="M62" s="10">
        <v>1130</v>
      </c>
      <c r="N62" s="20">
        <v>150</v>
      </c>
    </row>
    <row r="63" spans="1:14" x14ac:dyDescent="0.3">
      <c r="A63" s="22">
        <f t="shared" si="3"/>
        <v>61</v>
      </c>
      <c r="B63" s="16" t="s">
        <v>36</v>
      </c>
      <c r="C63" s="16" t="s">
        <v>69</v>
      </c>
      <c r="D63" s="9">
        <v>7780</v>
      </c>
      <c r="E63" s="10">
        <v>945</v>
      </c>
      <c r="F63" s="9">
        <v>8640</v>
      </c>
      <c r="G63" s="10">
        <v>1025</v>
      </c>
      <c r="H63" s="9">
        <v>8640</v>
      </c>
      <c r="I63" s="10">
        <v>1025</v>
      </c>
      <c r="J63" s="9">
        <v>13085</v>
      </c>
      <c r="K63" s="10">
        <v>1455</v>
      </c>
      <c r="L63" s="9">
        <v>23945</v>
      </c>
      <c r="M63" s="10">
        <v>1710</v>
      </c>
      <c r="N63" s="20">
        <v>150</v>
      </c>
    </row>
    <row r="64" spans="1:14" ht="15" thickBot="1" x14ac:dyDescent="0.35">
      <c r="A64" s="4">
        <f t="shared" si="3"/>
        <v>62</v>
      </c>
      <c r="B64" s="4" t="s">
        <v>36</v>
      </c>
      <c r="C64" s="4" t="s">
        <v>70</v>
      </c>
      <c r="D64" s="2">
        <v>2055</v>
      </c>
      <c r="E64" s="3">
        <v>395</v>
      </c>
      <c r="F64" s="2">
        <v>2225</v>
      </c>
      <c r="G64" s="3">
        <v>430</v>
      </c>
      <c r="H64" s="2">
        <v>2225</v>
      </c>
      <c r="I64" s="3">
        <v>430</v>
      </c>
      <c r="J64" s="2">
        <v>2735</v>
      </c>
      <c r="K64" s="3">
        <v>495</v>
      </c>
      <c r="L64" s="2">
        <v>4960</v>
      </c>
      <c r="M64" s="3">
        <v>600</v>
      </c>
      <c r="N64" s="20">
        <v>150</v>
      </c>
    </row>
    <row r="65" spans="1:14" x14ac:dyDescent="0.3">
      <c r="A65" s="24">
        <f>ROW()-2</f>
        <v>63</v>
      </c>
      <c r="B65" s="24" t="s">
        <v>71</v>
      </c>
      <c r="C65" s="26" t="s">
        <v>72</v>
      </c>
      <c r="D65" s="9">
        <v>150</v>
      </c>
      <c r="E65" s="10"/>
      <c r="F65" s="9">
        <v>200</v>
      </c>
      <c r="G65" s="10"/>
      <c r="H65" s="9">
        <f t="shared" ref="H65:H108" si="4">F65</f>
        <v>200</v>
      </c>
      <c r="I65" s="10">
        <f t="shared" ref="I65:I85" si="5">G65</f>
        <v>0</v>
      </c>
      <c r="J65" s="9">
        <v>275</v>
      </c>
      <c r="K65" s="10"/>
      <c r="L65" s="9">
        <v>675</v>
      </c>
      <c r="M65" s="10"/>
      <c r="N65" s="20">
        <v>150</v>
      </c>
    </row>
    <row r="66" spans="1:14" x14ac:dyDescent="0.3">
      <c r="A66" s="24">
        <f t="shared" ref="A66:A108" si="6">ROW()-2</f>
        <v>64</v>
      </c>
      <c r="B66" s="24" t="s">
        <v>71</v>
      </c>
      <c r="C66" s="26" t="s">
        <v>73</v>
      </c>
      <c r="D66" s="9">
        <v>175</v>
      </c>
      <c r="E66" s="10"/>
      <c r="F66" s="9">
        <v>275</v>
      </c>
      <c r="G66" s="10"/>
      <c r="H66" s="9">
        <f t="shared" si="4"/>
        <v>275</v>
      </c>
      <c r="I66" s="10">
        <f t="shared" si="5"/>
        <v>0</v>
      </c>
      <c r="J66" s="9">
        <v>350</v>
      </c>
      <c r="K66" s="10"/>
      <c r="L66" s="9">
        <v>850</v>
      </c>
      <c r="M66" s="10"/>
      <c r="N66" s="20">
        <v>150</v>
      </c>
    </row>
    <row r="67" spans="1:14" x14ac:dyDescent="0.3">
      <c r="A67" s="24">
        <f t="shared" si="6"/>
        <v>65</v>
      </c>
      <c r="B67" s="24" t="s">
        <v>71</v>
      </c>
      <c r="C67" s="26" t="s">
        <v>74</v>
      </c>
      <c r="D67" s="9">
        <v>100</v>
      </c>
      <c r="E67" s="10"/>
      <c r="F67" s="9">
        <v>200</v>
      </c>
      <c r="G67" s="10"/>
      <c r="H67" s="9">
        <f t="shared" si="4"/>
        <v>200</v>
      </c>
      <c r="I67" s="10">
        <f t="shared" si="5"/>
        <v>0</v>
      </c>
      <c r="J67" s="9">
        <v>275</v>
      </c>
      <c r="K67" s="10"/>
      <c r="L67" s="9">
        <v>575</v>
      </c>
      <c r="M67" s="10"/>
      <c r="N67" s="20">
        <v>150</v>
      </c>
    </row>
    <row r="68" spans="1:14" x14ac:dyDescent="0.3">
      <c r="A68" s="24">
        <f t="shared" si="6"/>
        <v>66</v>
      </c>
      <c r="B68" s="24" t="s">
        <v>71</v>
      </c>
      <c r="C68" s="26" t="s">
        <v>75</v>
      </c>
      <c r="D68" s="9">
        <v>150</v>
      </c>
      <c r="E68" s="10"/>
      <c r="F68" s="9">
        <v>225</v>
      </c>
      <c r="G68" s="10"/>
      <c r="H68" s="9">
        <f t="shared" si="4"/>
        <v>225</v>
      </c>
      <c r="I68" s="10">
        <f t="shared" si="5"/>
        <v>0</v>
      </c>
      <c r="J68" s="9">
        <v>325</v>
      </c>
      <c r="K68" s="10"/>
      <c r="L68" s="9">
        <v>725</v>
      </c>
      <c r="M68" s="10"/>
      <c r="N68" s="20">
        <v>150</v>
      </c>
    </row>
    <row r="69" spans="1:14" x14ac:dyDescent="0.3">
      <c r="A69" s="24">
        <f t="shared" si="6"/>
        <v>67</v>
      </c>
      <c r="B69" s="24" t="s">
        <v>71</v>
      </c>
      <c r="C69" s="26" t="s">
        <v>76</v>
      </c>
      <c r="D69" s="9">
        <v>225</v>
      </c>
      <c r="E69" s="10"/>
      <c r="F69" s="9">
        <v>300</v>
      </c>
      <c r="G69" s="10"/>
      <c r="H69" s="9">
        <f t="shared" si="4"/>
        <v>300</v>
      </c>
      <c r="I69" s="10">
        <f t="shared" si="5"/>
        <v>0</v>
      </c>
      <c r="J69" s="9">
        <v>550</v>
      </c>
      <c r="K69" s="10">
        <v>250</v>
      </c>
      <c r="L69" s="9">
        <v>1125</v>
      </c>
      <c r="M69" s="10"/>
      <c r="N69" s="20">
        <v>150</v>
      </c>
    </row>
    <row r="70" spans="1:14" x14ac:dyDescent="0.3">
      <c r="A70" s="24">
        <f t="shared" si="6"/>
        <v>68</v>
      </c>
      <c r="B70" s="24" t="s">
        <v>71</v>
      </c>
      <c r="C70" s="26" t="s">
        <v>77</v>
      </c>
      <c r="D70" s="9">
        <v>350</v>
      </c>
      <c r="E70" s="10"/>
      <c r="F70" s="9">
        <v>450</v>
      </c>
      <c r="G70" s="10"/>
      <c r="H70" s="9">
        <f t="shared" si="4"/>
        <v>450</v>
      </c>
      <c r="I70" s="10">
        <f t="shared" si="5"/>
        <v>0</v>
      </c>
      <c r="J70" s="9">
        <v>750</v>
      </c>
      <c r="K70" s="10"/>
      <c r="L70" s="9">
        <v>1525</v>
      </c>
      <c r="M70" s="10"/>
      <c r="N70" s="20">
        <v>150</v>
      </c>
    </row>
    <row r="71" spans="1:14" x14ac:dyDescent="0.3">
      <c r="A71" s="24">
        <f t="shared" si="6"/>
        <v>69</v>
      </c>
      <c r="B71" s="24" t="s">
        <v>71</v>
      </c>
      <c r="C71" s="26" t="s">
        <v>78</v>
      </c>
      <c r="D71" s="9">
        <v>350</v>
      </c>
      <c r="E71" s="10"/>
      <c r="F71" s="9">
        <v>550</v>
      </c>
      <c r="G71" s="10"/>
      <c r="H71" s="9">
        <f t="shared" si="4"/>
        <v>550</v>
      </c>
      <c r="I71" s="10">
        <f t="shared" si="5"/>
        <v>0</v>
      </c>
      <c r="J71" s="9">
        <v>700</v>
      </c>
      <c r="K71" s="10"/>
      <c r="L71" s="9">
        <v>1525</v>
      </c>
      <c r="M71" s="10"/>
      <c r="N71" s="20">
        <v>150</v>
      </c>
    </row>
    <row r="72" spans="1:14" x14ac:dyDescent="0.3">
      <c r="A72" s="24">
        <f t="shared" si="6"/>
        <v>70</v>
      </c>
      <c r="B72" s="24" t="s">
        <v>71</v>
      </c>
      <c r="C72" s="26" t="s">
        <v>79</v>
      </c>
      <c r="D72" s="9">
        <v>550</v>
      </c>
      <c r="E72" s="10"/>
      <c r="F72" s="9">
        <v>725</v>
      </c>
      <c r="G72" s="10"/>
      <c r="H72" s="9">
        <f t="shared" si="4"/>
        <v>725</v>
      </c>
      <c r="I72" s="10">
        <f t="shared" si="5"/>
        <v>0</v>
      </c>
      <c r="J72" s="9">
        <v>1125</v>
      </c>
      <c r="K72" s="10"/>
      <c r="L72" s="9">
        <v>2350</v>
      </c>
      <c r="M72" s="10"/>
      <c r="N72" s="20">
        <v>150</v>
      </c>
    </row>
    <row r="73" spans="1:14" x14ac:dyDescent="0.3">
      <c r="A73" s="24">
        <f t="shared" si="6"/>
        <v>71</v>
      </c>
      <c r="B73" s="24" t="s">
        <v>71</v>
      </c>
      <c r="C73" s="26" t="s">
        <v>80</v>
      </c>
      <c r="D73" s="9">
        <v>150</v>
      </c>
      <c r="E73" s="10"/>
      <c r="F73" s="9">
        <v>225</v>
      </c>
      <c r="G73" s="10"/>
      <c r="H73" s="9">
        <f t="shared" si="4"/>
        <v>225</v>
      </c>
      <c r="I73" s="10">
        <f t="shared" si="5"/>
        <v>0</v>
      </c>
      <c r="J73" s="9">
        <v>400</v>
      </c>
      <c r="K73" s="10"/>
      <c r="L73" s="9">
        <v>875</v>
      </c>
      <c r="M73" s="10"/>
      <c r="N73" s="20">
        <v>150</v>
      </c>
    </row>
    <row r="74" spans="1:14" x14ac:dyDescent="0.3">
      <c r="A74" s="24">
        <f t="shared" si="6"/>
        <v>72</v>
      </c>
      <c r="B74" s="24" t="s">
        <v>71</v>
      </c>
      <c r="C74" s="26" t="s">
        <v>81</v>
      </c>
      <c r="D74" s="9">
        <v>200</v>
      </c>
      <c r="E74" s="10"/>
      <c r="F74" s="9">
        <v>300</v>
      </c>
      <c r="G74" s="10"/>
      <c r="H74" s="9">
        <f t="shared" si="4"/>
        <v>300</v>
      </c>
      <c r="I74" s="10">
        <f t="shared" si="5"/>
        <v>0</v>
      </c>
      <c r="J74" s="9">
        <v>525</v>
      </c>
      <c r="K74" s="10"/>
      <c r="L74" s="9">
        <v>110</v>
      </c>
      <c r="M74" s="10"/>
      <c r="N74" s="20">
        <v>150</v>
      </c>
    </row>
    <row r="75" spans="1:14" x14ac:dyDescent="0.3">
      <c r="A75" s="24">
        <f t="shared" si="6"/>
        <v>73</v>
      </c>
      <c r="B75" s="24" t="s">
        <v>71</v>
      </c>
      <c r="C75" s="26" t="s">
        <v>82</v>
      </c>
      <c r="D75" s="9">
        <v>200</v>
      </c>
      <c r="E75" s="10"/>
      <c r="F75" s="9">
        <v>275</v>
      </c>
      <c r="G75" s="10"/>
      <c r="H75" s="9">
        <f t="shared" si="4"/>
        <v>275</v>
      </c>
      <c r="I75" s="10">
        <f t="shared" si="5"/>
        <v>0</v>
      </c>
      <c r="J75" s="9">
        <v>475</v>
      </c>
      <c r="K75" s="10"/>
      <c r="L75" s="9">
        <v>1125</v>
      </c>
      <c r="M75" s="10"/>
      <c r="N75" s="20">
        <v>150</v>
      </c>
    </row>
    <row r="76" spans="1:14" x14ac:dyDescent="0.3">
      <c r="A76" s="24">
        <f t="shared" si="6"/>
        <v>74</v>
      </c>
      <c r="B76" s="24" t="s">
        <v>71</v>
      </c>
      <c r="C76" s="26" t="s">
        <v>83</v>
      </c>
      <c r="D76" s="9">
        <v>275</v>
      </c>
      <c r="E76" s="10"/>
      <c r="F76" s="9">
        <v>350</v>
      </c>
      <c r="G76" s="10"/>
      <c r="H76" s="9">
        <f t="shared" si="4"/>
        <v>350</v>
      </c>
      <c r="I76" s="10">
        <f t="shared" si="5"/>
        <v>0</v>
      </c>
      <c r="J76" s="9">
        <v>600</v>
      </c>
      <c r="K76" s="10"/>
      <c r="L76" s="9">
        <v>1425</v>
      </c>
      <c r="M76" s="10"/>
      <c r="N76" s="20">
        <v>150</v>
      </c>
    </row>
    <row r="77" spans="1:14" x14ac:dyDescent="0.3">
      <c r="A77" s="24">
        <f t="shared" si="6"/>
        <v>75</v>
      </c>
      <c r="B77" s="24" t="s">
        <v>71</v>
      </c>
      <c r="C77" s="26" t="s">
        <v>84</v>
      </c>
      <c r="D77" s="9">
        <v>150</v>
      </c>
      <c r="E77" s="10"/>
      <c r="F77" s="9">
        <v>200</v>
      </c>
      <c r="G77" s="10"/>
      <c r="H77" s="9">
        <f t="shared" si="4"/>
        <v>200</v>
      </c>
      <c r="I77" s="10">
        <f t="shared" si="5"/>
        <v>0</v>
      </c>
      <c r="J77" s="9">
        <v>400</v>
      </c>
      <c r="K77" s="10"/>
      <c r="L77" s="9">
        <v>850</v>
      </c>
      <c r="M77" s="10"/>
      <c r="N77" s="20">
        <v>150</v>
      </c>
    </row>
    <row r="78" spans="1:14" x14ac:dyDescent="0.3">
      <c r="A78" s="24">
        <f t="shared" si="6"/>
        <v>76</v>
      </c>
      <c r="B78" s="24" t="s">
        <v>71</v>
      </c>
      <c r="C78" s="26" t="s">
        <v>85</v>
      </c>
      <c r="D78" s="9">
        <v>175</v>
      </c>
      <c r="E78" s="10"/>
      <c r="F78" s="9">
        <v>275</v>
      </c>
      <c r="G78" s="10"/>
      <c r="H78" s="9">
        <f t="shared" si="4"/>
        <v>275</v>
      </c>
      <c r="I78" s="10">
        <f t="shared" si="5"/>
        <v>0</v>
      </c>
      <c r="J78" s="9">
        <v>500</v>
      </c>
      <c r="K78" s="10"/>
      <c r="L78" s="9">
        <v>1050</v>
      </c>
      <c r="M78" s="10"/>
      <c r="N78" s="20">
        <v>150</v>
      </c>
    </row>
    <row r="79" spans="1:14" x14ac:dyDescent="0.3">
      <c r="A79" s="24">
        <f t="shared" si="6"/>
        <v>77</v>
      </c>
      <c r="B79" s="24" t="s">
        <v>71</v>
      </c>
      <c r="C79" s="26" t="s">
        <v>86</v>
      </c>
      <c r="D79" s="9">
        <v>300</v>
      </c>
      <c r="E79" s="10"/>
      <c r="F79" s="9">
        <v>400</v>
      </c>
      <c r="G79" s="10"/>
      <c r="H79" s="9">
        <f t="shared" si="4"/>
        <v>400</v>
      </c>
      <c r="I79" s="10">
        <f t="shared" si="5"/>
        <v>0</v>
      </c>
      <c r="J79" s="9">
        <v>675</v>
      </c>
      <c r="K79" s="10">
        <v>250</v>
      </c>
      <c r="L79" s="9">
        <v>1575</v>
      </c>
      <c r="M79" s="10"/>
      <c r="N79" s="20">
        <v>150</v>
      </c>
    </row>
    <row r="80" spans="1:14" x14ac:dyDescent="0.3">
      <c r="A80" s="24">
        <f t="shared" si="6"/>
        <v>78</v>
      </c>
      <c r="B80" s="24" t="s">
        <v>71</v>
      </c>
      <c r="C80" s="26" t="s">
        <v>87</v>
      </c>
      <c r="D80" s="9">
        <v>400</v>
      </c>
      <c r="E80" s="10"/>
      <c r="F80" s="9">
        <v>525</v>
      </c>
      <c r="G80" s="10"/>
      <c r="H80" s="9">
        <f t="shared" si="4"/>
        <v>525</v>
      </c>
      <c r="I80" s="10">
        <f t="shared" si="5"/>
        <v>0</v>
      </c>
      <c r="J80" s="9">
        <v>900</v>
      </c>
      <c r="K80" s="10"/>
      <c r="L80" s="9">
        <v>1975</v>
      </c>
      <c r="M80" s="10"/>
      <c r="N80" s="20">
        <v>150</v>
      </c>
    </row>
    <row r="81" spans="1:14" x14ac:dyDescent="0.3">
      <c r="A81" s="24">
        <f t="shared" si="6"/>
        <v>79</v>
      </c>
      <c r="B81" s="24" t="s">
        <v>71</v>
      </c>
      <c r="C81" s="26" t="s">
        <v>88</v>
      </c>
      <c r="D81" s="9">
        <v>200</v>
      </c>
      <c r="E81" s="10"/>
      <c r="F81" s="9">
        <v>275</v>
      </c>
      <c r="G81" s="10"/>
      <c r="H81" s="9">
        <f t="shared" si="4"/>
        <v>275</v>
      </c>
      <c r="I81" s="10">
        <f t="shared" si="5"/>
        <v>0</v>
      </c>
      <c r="J81" s="9">
        <v>475</v>
      </c>
      <c r="K81" s="10"/>
      <c r="L81" s="9">
        <v>1125</v>
      </c>
      <c r="M81" s="10"/>
      <c r="N81" s="20">
        <v>150</v>
      </c>
    </row>
    <row r="82" spans="1:14" x14ac:dyDescent="0.3">
      <c r="A82" s="24">
        <f t="shared" si="6"/>
        <v>80</v>
      </c>
      <c r="B82" s="24" t="s">
        <v>71</v>
      </c>
      <c r="C82" s="26" t="s">
        <v>89</v>
      </c>
      <c r="D82" s="9">
        <v>275</v>
      </c>
      <c r="E82" s="10"/>
      <c r="F82" s="9">
        <v>350</v>
      </c>
      <c r="G82" s="10"/>
      <c r="H82" s="9">
        <f t="shared" si="4"/>
        <v>350</v>
      </c>
      <c r="I82" s="10">
        <f t="shared" si="5"/>
        <v>0</v>
      </c>
      <c r="J82" s="9">
        <v>600</v>
      </c>
      <c r="K82" s="10"/>
      <c r="L82" s="9">
        <v>1425</v>
      </c>
      <c r="M82" s="10"/>
      <c r="N82" s="20">
        <v>150</v>
      </c>
    </row>
    <row r="83" spans="1:14" x14ac:dyDescent="0.3">
      <c r="A83" s="24">
        <f t="shared" si="6"/>
        <v>81</v>
      </c>
      <c r="B83" s="24" t="s">
        <v>71</v>
      </c>
      <c r="C83" s="26" t="s">
        <v>90</v>
      </c>
      <c r="D83" s="9">
        <v>275</v>
      </c>
      <c r="E83" s="10"/>
      <c r="F83" s="9">
        <v>400</v>
      </c>
      <c r="G83" s="10"/>
      <c r="H83" s="9">
        <f t="shared" si="4"/>
        <v>400</v>
      </c>
      <c r="I83" s="10">
        <f t="shared" si="5"/>
        <v>0</v>
      </c>
      <c r="J83" s="9">
        <v>675</v>
      </c>
      <c r="K83" s="10"/>
      <c r="L83" s="9">
        <v>1525</v>
      </c>
      <c r="M83" s="10"/>
      <c r="N83" s="20">
        <v>150</v>
      </c>
    </row>
    <row r="84" spans="1:14" x14ac:dyDescent="0.3">
      <c r="A84" s="24">
        <f t="shared" si="6"/>
        <v>82</v>
      </c>
      <c r="B84" s="24" t="s">
        <v>71</v>
      </c>
      <c r="C84" s="26" t="s">
        <v>91</v>
      </c>
      <c r="D84" s="9">
        <v>350</v>
      </c>
      <c r="E84" s="10"/>
      <c r="F84" s="9">
        <v>500</v>
      </c>
      <c r="G84" s="10"/>
      <c r="H84" s="9">
        <f t="shared" si="4"/>
        <v>500</v>
      </c>
      <c r="I84" s="10">
        <f t="shared" si="5"/>
        <v>0</v>
      </c>
      <c r="J84" s="9">
        <v>875</v>
      </c>
      <c r="K84" s="10"/>
      <c r="L84" s="9">
        <v>1925</v>
      </c>
      <c r="M84" s="10"/>
      <c r="N84" s="20">
        <v>150</v>
      </c>
    </row>
    <row r="85" spans="1:14" x14ac:dyDescent="0.3">
      <c r="A85" s="24">
        <f t="shared" si="6"/>
        <v>83</v>
      </c>
      <c r="B85" s="24" t="s">
        <v>71</v>
      </c>
      <c r="C85" s="26" t="s">
        <v>92</v>
      </c>
      <c r="D85" s="9">
        <v>750</v>
      </c>
      <c r="E85" s="10"/>
      <c r="F85" s="9">
        <v>1475</v>
      </c>
      <c r="G85" s="10"/>
      <c r="H85" s="9">
        <f t="shared" si="4"/>
        <v>1475</v>
      </c>
      <c r="I85" s="10">
        <f t="shared" si="5"/>
        <v>0</v>
      </c>
      <c r="J85" s="9">
        <v>2000</v>
      </c>
      <c r="K85" s="10">
        <v>500</v>
      </c>
      <c r="L85" s="9">
        <v>4950</v>
      </c>
      <c r="M85" s="10"/>
      <c r="N85" s="20">
        <v>150</v>
      </c>
    </row>
    <row r="86" spans="1:14" x14ac:dyDescent="0.3">
      <c r="A86" s="24">
        <f t="shared" si="6"/>
        <v>84</v>
      </c>
      <c r="B86" s="24" t="s">
        <v>71</v>
      </c>
      <c r="C86" s="26" t="s">
        <v>93</v>
      </c>
      <c r="D86" s="9">
        <v>575</v>
      </c>
      <c r="E86" s="10"/>
      <c r="F86" s="9">
        <v>900</v>
      </c>
      <c r="G86" s="10"/>
      <c r="H86" s="9">
        <f t="shared" si="4"/>
        <v>900</v>
      </c>
      <c r="I86" s="10"/>
      <c r="J86" s="9">
        <v>1325</v>
      </c>
      <c r="K86" s="10"/>
      <c r="L86" s="9">
        <v>3425</v>
      </c>
      <c r="M86" s="10"/>
      <c r="N86" s="20">
        <v>150</v>
      </c>
    </row>
    <row r="87" spans="1:14" x14ac:dyDescent="0.3">
      <c r="A87" s="24">
        <f t="shared" si="6"/>
        <v>85</v>
      </c>
      <c r="B87" s="24" t="s">
        <v>71</v>
      </c>
      <c r="C87" s="26" t="s">
        <v>94</v>
      </c>
      <c r="D87" s="9">
        <v>625</v>
      </c>
      <c r="E87" s="10"/>
      <c r="F87" s="9">
        <v>975</v>
      </c>
      <c r="G87" s="10"/>
      <c r="H87" s="9">
        <f t="shared" si="4"/>
        <v>975</v>
      </c>
      <c r="I87" s="10"/>
      <c r="J87" s="9">
        <v>1400</v>
      </c>
      <c r="K87" s="10"/>
      <c r="L87" s="9">
        <v>3675</v>
      </c>
      <c r="M87" s="10"/>
      <c r="N87" s="20">
        <v>150</v>
      </c>
    </row>
    <row r="88" spans="1:14" x14ac:dyDescent="0.3">
      <c r="A88" s="24">
        <f t="shared" si="6"/>
        <v>86</v>
      </c>
      <c r="B88" s="24" t="s">
        <v>71</v>
      </c>
      <c r="C88" s="26" t="s">
        <v>95</v>
      </c>
      <c r="D88" s="9">
        <v>1300</v>
      </c>
      <c r="E88" s="10"/>
      <c r="F88" s="9">
        <v>1925</v>
      </c>
      <c r="G88" s="10"/>
      <c r="H88" s="9">
        <f t="shared" si="4"/>
        <v>1925</v>
      </c>
      <c r="I88" s="10"/>
      <c r="J88" s="9">
        <v>3050</v>
      </c>
      <c r="K88" s="10"/>
      <c r="L88" s="9">
        <v>7000</v>
      </c>
      <c r="M88" s="10"/>
      <c r="N88" s="20">
        <v>150</v>
      </c>
    </row>
    <row r="89" spans="1:14" x14ac:dyDescent="0.3">
      <c r="A89" s="24">
        <f t="shared" si="6"/>
        <v>87</v>
      </c>
      <c r="B89" s="24" t="s">
        <v>71</v>
      </c>
      <c r="C89" s="26" t="s">
        <v>96</v>
      </c>
      <c r="D89" s="9">
        <v>625</v>
      </c>
      <c r="E89" s="10"/>
      <c r="F89" s="9">
        <v>975</v>
      </c>
      <c r="G89" s="10"/>
      <c r="H89" s="9">
        <f t="shared" si="4"/>
        <v>975</v>
      </c>
      <c r="I89" s="10"/>
      <c r="J89" s="9">
        <v>1400</v>
      </c>
      <c r="K89" s="10"/>
      <c r="L89" s="9">
        <v>3675</v>
      </c>
      <c r="M89" s="10"/>
      <c r="N89" s="20">
        <v>150</v>
      </c>
    </row>
    <row r="90" spans="1:14" x14ac:dyDescent="0.3">
      <c r="A90" s="24">
        <f t="shared" si="6"/>
        <v>88</v>
      </c>
      <c r="B90" s="24" t="s">
        <v>71</v>
      </c>
      <c r="C90" s="26" t="s">
        <v>97</v>
      </c>
      <c r="D90" s="9">
        <v>1025</v>
      </c>
      <c r="E90" s="10"/>
      <c r="F90" s="9">
        <v>1300</v>
      </c>
      <c r="G90" s="10"/>
      <c r="H90" s="9">
        <f t="shared" si="4"/>
        <v>1300</v>
      </c>
      <c r="I90" s="10"/>
      <c r="J90" s="9">
        <v>2400</v>
      </c>
      <c r="K90" s="10"/>
      <c r="L90" s="9">
        <v>5525</v>
      </c>
      <c r="M90" s="10"/>
      <c r="N90" s="20">
        <v>150</v>
      </c>
    </row>
    <row r="91" spans="1:14" x14ac:dyDescent="0.3">
      <c r="A91" s="24">
        <f t="shared" si="6"/>
        <v>89</v>
      </c>
      <c r="B91" s="24" t="s">
        <v>71</v>
      </c>
      <c r="C91" s="26" t="s">
        <v>98</v>
      </c>
      <c r="D91" s="9">
        <v>1300</v>
      </c>
      <c r="E91" s="10"/>
      <c r="F91" s="9">
        <v>1925</v>
      </c>
      <c r="G91" s="10"/>
      <c r="H91" s="9">
        <f t="shared" si="4"/>
        <v>1925</v>
      </c>
      <c r="I91" s="10"/>
      <c r="J91" s="9">
        <v>3050</v>
      </c>
      <c r="K91" s="10"/>
      <c r="L91" s="9">
        <v>7325</v>
      </c>
      <c r="M91" s="10"/>
      <c r="N91" s="20">
        <v>150</v>
      </c>
    </row>
    <row r="92" spans="1:14" x14ac:dyDescent="0.3">
      <c r="A92" s="24">
        <f t="shared" si="6"/>
        <v>90</v>
      </c>
      <c r="B92" s="24" t="s">
        <v>71</v>
      </c>
      <c r="C92" s="26" t="s">
        <v>99</v>
      </c>
      <c r="D92" s="9">
        <v>1525</v>
      </c>
      <c r="E92" s="10"/>
      <c r="F92" s="9">
        <v>1925</v>
      </c>
      <c r="G92" s="10"/>
      <c r="H92" s="9">
        <f t="shared" si="4"/>
        <v>1925</v>
      </c>
      <c r="I92" s="10"/>
      <c r="J92" s="9">
        <v>3050</v>
      </c>
      <c r="K92" s="10"/>
      <c r="L92" s="9">
        <v>7425</v>
      </c>
      <c r="M92" s="10"/>
      <c r="N92" s="20">
        <v>150</v>
      </c>
    </row>
    <row r="93" spans="1:14" x14ac:dyDescent="0.3">
      <c r="A93" s="24">
        <f t="shared" si="6"/>
        <v>91</v>
      </c>
      <c r="B93" s="24" t="s">
        <v>71</v>
      </c>
      <c r="C93" s="26" t="s">
        <v>100</v>
      </c>
      <c r="D93" s="9">
        <v>1675</v>
      </c>
      <c r="E93" s="10"/>
      <c r="F93" s="9">
        <v>2400</v>
      </c>
      <c r="G93" s="10"/>
      <c r="H93" s="9">
        <f t="shared" si="4"/>
        <v>2400</v>
      </c>
      <c r="I93" s="10"/>
      <c r="J93" s="9">
        <v>3575</v>
      </c>
      <c r="K93" s="10"/>
      <c r="L93" s="9">
        <v>8350</v>
      </c>
      <c r="M93" s="10"/>
      <c r="N93" s="20">
        <v>150</v>
      </c>
    </row>
    <row r="94" spans="1:14" x14ac:dyDescent="0.3">
      <c r="A94" s="24">
        <f t="shared" si="6"/>
        <v>92</v>
      </c>
      <c r="B94" s="24" t="s">
        <v>71</v>
      </c>
      <c r="C94" s="26" t="s">
        <v>101</v>
      </c>
      <c r="D94" s="9">
        <v>1525</v>
      </c>
      <c r="E94" s="10"/>
      <c r="F94" s="9">
        <v>1925</v>
      </c>
      <c r="G94" s="10"/>
      <c r="H94" s="9">
        <f t="shared" si="4"/>
        <v>1925</v>
      </c>
      <c r="I94" s="10"/>
      <c r="J94" s="9">
        <v>3050</v>
      </c>
      <c r="K94" s="10"/>
      <c r="L94" s="9">
        <v>7325</v>
      </c>
      <c r="M94" s="10"/>
      <c r="N94" s="20">
        <v>150</v>
      </c>
    </row>
    <row r="95" spans="1:14" x14ac:dyDescent="0.3">
      <c r="A95" s="24">
        <f t="shared" si="6"/>
        <v>93</v>
      </c>
      <c r="B95" s="24" t="s">
        <v>71</v>
      </c>
      <c r="C95" s="26" t="s">
        <v>102</v>
      </c>
      <c r="D95" s="9">
        <v>3275</v>
      </c>
      <c r="E95" s="10"/>
      <c r="F95" s="9">
        <v>5025</v>
      </c>
      <c r="G95" s="10"/>
      <c r="H95" s="9">
        <f t="shared" si="4"/>
        <v>5025</v>
      </c>
      <c r="I95" s="10"/>
      <c r="J95" s="9">
        <v>7875</v>
      </c>
      <c r="K95" s="10"/>
      <c r="L95" s="9">
        <v>19400</v>
      </c>
      <c r="M95" s="10"/>
      <c r="N95" s="20">
        <v>150</v>
      </c>
    </row>
    <row r="96" spans="1:14" x14ac:dyDescent="0.3">
      <c r="A96" s="24">
        <f t="shared" si="6"/>
        <v>94</v>
      </c>
      <c r="B96" s="24" t="s">
        <v>71</v>
      </c>
      <c r="C96" s="26" t="s">
        <v>103</v>
      </c>
      <c r="D96" s="9">
        <v>1900</v>
      </c>
      <c r="E96" s="10"/>
      <c r="F96" s="9">
        <v>2375</v>
      </c>
      <c r="G96" s="10"/>
      <c r="H96" s="9">
        <f t="shared" si="4"/>
        <v>2375</v>
      </c>
      <c r="I96" s="10"/>
      <c r="J96" s="9">
        <v>3800</v>
      </c>
      <c r="K96" s="10"/>
      <c r="L96" s="9">
        <v>8200</v>
      </c>
      <c r="M96" s="10"/>
      <c r="N96" s="20">
        <v>150</v>
      </c>
    </row>
    <row r="97" spans="1:14" x14ac:dyDescent="0.3">
      <c r="A97" s="24">
        <f t="shared" si="6"/>
        <v>95</v>
      </c>
      <c r="B97" s="24" t="s">
        <v>71</v>
      </c>
      <c r="C97" s="26" t="s">
        <v>104</v>
      </c>
      <c r="D97" s="9">
        <v>2075</v>
      </c>
      <c r="E97" s="10"/>
      <c r="F97" s="9">
        <v>3050</v>
      </c>
      <c r="G97" s="10"/>
      <c r="H97" s="9">
        <f t="shared" si="4"/>
        <v>3050</v>
      </c>
      <c r="I97" s="10"/>
      <c r="J97" s="9">
        <v>4725</v>
      </c>
      <c r="K97" s="10"/>
      <c r="L97" s="9">
        <v>10675</v>
      </c>
      <c r="M97" s="10"/>
      <c r="N97" s="20">
        <v>150</v>
      </c>
    </row>
    <row r="98" spans="1:14" x14ac:dyDescent="0.3">
      <c r="A98" s="24">
        <f t="shared" si="6"/>
        <v>96</v>
      </c>
      <c r="B98" s="24" t="s">
        <v>71</v>
      </c>
      <c r="C98" s="26" t="s">
        <v>105</v>
      </c>
      <c r="D98" s="9">
        <v>2375</v>
      </c>
      <c r="E98" s="10"/>
      <c r="F98" s="9">
        <v>3000</v>
      </c>
      <c r="G98" s="10"/>
      <c r="H98" s="9">
        <f t="shared" si="4"/>
        <v>3000</v>
      </c>
      <c r="I98" s="10"/>
      <c r="J98" s="9">
        <v>5275</v>
      </c>
      <c r="K98" s="10"/>
      <c r="L98" s="9">
        <v>10275</v>
      </c>
      <c r="M98" s="10"/>
      <c r="N98" s="20">
        <v>150</v>
      </c>
    </row>
    <row r="99" spans="1:14" x14ac:dyDescent="0.3">
      <c r="A99" s="24">
        <f t="shared" si="6"/>
        <v>97</v>
      </c>
      <c r="B99" s="24" t="s">
        <v>71</v>
      </c>
      <c r="C99" s="26" t="s">
        <v>106</v>
      </c>
      <c r="D99" s="9">
        <v>4575</v>
      </c>
      <c r="E99" s="10"/>
      <c r="F99" s="9">
        <v>5200</v>
      </c>
      <c r="G99" s="10"/>
      <c r="H99" s="9">
        <f t="shared" si="4"/>
        <v>5200</v>
      </c>
      <c r="I99" s="10"/>
      <c r="J99" s="9">
        <v>9475</v>
      </c>
      <c r="K99" s="10"/>
      <c r="L99" s="9">
        <v>18950</v>
      </c>
      <c r="M99" s="10"/>
      <c r="N99" s="20">
        <v>150</v>
      </c>
    </row>
    <row r="100" spans="1:14" x14ac:dyDescent="0.3">
      <c r="A100" s="24">
        <f t="shared" si="6"/>
        <v>98</v>
      </c>
      <c r="B100" s="24" t="s">
        <v>71</v>
      </c>
      <c r="C100" s="26" t="s">
        <v>107</v>
      </c>
      <c r="D100" s="9">
        <v>275</v>
      </c>
      <c r="E100" s="10"/>
      <c r="F100" s="9">
        <v>500</v>
      </c>
      <c r="G100" s="10"/>
      <c r="H100" s="9">
        <f t="shared" si="4"/>
        <v>500</v>
      </c>
      <c r="I100" s="10"/>
      <c r="J100" s="9">
        <v>975</v>
      </c>
      <c r="K100" s="10"/>
      <c r="L100" s="9">
        <v>2100</v>
      </c>
      <c r="M100" s="10"/>
      <c r="N100" s="20">
        <v>150</v>
      </c>
    </row>
    <row r="101" spans="1:14" x14ac:dyDescent="0.3">
      <c r="A101" s="24">
        <f t="shared" si="6"/>
        <v>99</v>
      </c>
      <c r="B101" s="24" t="s">
        <v>71</v>
      </c>
      <c r="C101" s="26" t="s">
        <v>108</v>
      </c>
      <c r="D101" s="9">
        <v>550</v>
      </c>
      <c r="E101" s="10"/>
      <c r="F101" s="9">
        <v>875</v>
      </c>
      <c r="G101" s="10"/>
      <c r="H101" s="9">
        <f t="shared" si="4"/>
        <v>875</v>
      </c>
      <c r="I101" s="10"/>
      <c r="J101" s="9">
        <v>1300</v>
      </c>
      <c r="K101" s="10"/>
      <c r="L101" s="9">
        <v>3350</v>
      </c>
      <c r="M101" s="10"/>
      <c r="N101" s="20">
        <v>150</v>
      </c>
    </row>
    <row r="102" spans="1:14" x14ac:dyDescent="0.3">
      <c r="A102" s="24">
        <f t="shared" si="6"/>
        <v>100</v>
      </c>
      <c r="B102" s="24" t="s">
        <v>71</v>
      </c>
      <c r="C102" s="26" t="s">
        <v>109</v>
      </c>
      <c r="D102" s="9">
        <v>1100</v>
      </c>
      <c r="E102" s="10"/>
      <c r="F102" s="9">
        <v>1825</v>
      </c>
      <c r="G102" s="10"/>
      <c r="H102" s="9">
        <f t="shared" si="4"/>
        <v>1825</v>
      </c>
      <c r="I102" s="10"/>
      <c r="J102" s="9">
        <v>2625</v>
      </c>
      <c r="K102" s="10"/>
      <c r="L102" s="9">
        <v>6850</v>
      </c>
      <c r="M102" s="10"/>
      <c r="N102" s="20">
        <v>150</v>
      </c>
    </row>
    <row r="103" spans="1:14" x14ac:dyDescent="0.3">
      <c r="A103" s="24">
        <f t="shared" si="6"/>
        <v>101</v>
      </c>
      <c r="B103" s="24" t="s">
        <v>71</v>
      </c>
      <c r="C103" s="26" t="s">
        <v>110</v>
      </c>
      <c r="D103" s="9">
        <v>200</v>
      </c>
      <c r="E103" s="10"/>
      <c r="F103" s="9">
        <v>225</v>
      </c>
      <c r="G103" s="10"/>
      <c r="H103" s="9">
        <f t="shared" si="4"/>
        <v>225</v>
      </c>
      <c r="I103" s="10"/>
      <c r="J103" s="9">
        <v>425</v>
      </c>
      <c r="K103" s="10"/>
      <c r="L103" s="9">
        <v>900</v>
      </c>
      <c r="M103" s="10"/>
      <c r="N103" s="20">
        <v>150</v>
      </c>
    </row>
    <row r="104" spans="1:14" x14ac:dyDescent="0.3">
      <c r="A104" s="24">
        <f t="shared" si="6"/>
        <v>102</v>
      </c>
      <c r="B104" s="24" t="s">
        <v>71</v>
      </c>
      <c r="C104" s="26" t="s">
        <v>28</v>
      </c>
      <c r="D104" s="9">
        <v>575</v>
      </c>
      <c r="E104" s="10"/>
      <c r="F104" s="9">
        <v>925</v>
      </c>
      <c r="G104" s="10"/>
      <c r="H104" s="9">
        <f t="shared" si="4"/>
        <v>925</v>
      </c>
      <c r="I104" s="10"/>
      <c r="J104" s="9">
        <v>1825</v>
      </c>
      <c r="K104" s="10"/>
      <c r="L104" s="9">
        <v>3525</v>
      </c>
      <c r="M104" s="10"/>
      <c r="N104" s="20">
        <v>150</v>
      </c>
    </row>
    <row r="105" spans="1:14" x14ac:dyDescent="0.3">
      <c r="A105" s="24">
        <f t="shared" si="6"/>
        <v>103</v>
      </c>
      <c r="B105" s="24" t="s">
        <v>71</v>
      </c>
      <c r="C105" s="26" t="s">
        <v>111</v>
      </c>
      <c r="D105" s="9">
        <v>2200</v>
      </c>
      <c r="E105" s="10"/>
      <c r="F105" s="9">
        <v>2925</v>
      </c>
      <c r="G105" s="10"/>
      <c r="H105" s="9">
        <f t="shared" si="4"/>
        <v>2925</v>
      </c>
      <c r="I105" s="10"/>
      <c r="J105" s="9">
        <v>4575</v>
      </c>
      <c r="K105" s="10"/>
      <c r="L105" s="9">
        <v>10525</v>
      </c>
      <c r="M105" s="10"/>
      <c r="N105" s="20">
        <v>150</v>
      </c>
    </row>
    <row r="106" spans="1:14" x14ac:dyDescent="0.3">
      <c r="A106" s="24">
        <f t="shared" si="6"/>
        <v>104</v>
      </c>
      <c r="B106" s="24" t="s">
        <v>71</v>
      </c>
      <c r="C106" s="26" t="s">
        <v>112</v>
      </c>
      <c r="D106" s="9">
        <v>3300</v>
      </c>
      <c r="E106" s="10"/>
      <c r="F106" s="9">
        <v>4375</v>
      </c>
      <c r="G106" s="10"/>
      <c r="H106" s="9">
        <f t="shared" si="4"/>
        <v>4375</v>
      </c>
      <c r="I106" s="10"/>
      <c r="J106" s="9">
        <v>6925</v>
      </c>
      <c r="K106" s="10"/>
      <c r="L106" s="9">
        <v>15775</v>
      </c>
      <c r="M106" s="10"/>
      <c r="N106" s="20">
        <v>150</v>
      </c>
    </row>
    <row r="107" spans="1:14" x14ac:dyDescent="0.3">
      <c r="A107" s="24">
        <f t="shared" si="6"/>
        <v>105</v>
      </c>
      <c r="B107" s="24" t="s">
        <v>71</v>
      </c>
      <c r="C107" s="26" t="s">
        <v>113</v>
      </c>
      <c r="D107" s="9">
        <v>300</v>
      </c>
      <c r="E107" s="10"/>
      <c r="F107" s="9">
        <v>525</v>
      </c>
      <c r="G107" s="10"/>
      <c r="H107" s="9">
        <f t="shared" si="4"/>
        <v>525</v>
      </c>
      <c r="I107" s="10"/>
      <c r="J107" s="9">
        <v>825</v>
      </c>
      <c r="K107" s="10"/>
      <c r="L107" s="9">
        <v>2050</v>
      </c>
      <c r="M107" s="10"/>
      <c r="N107" s="20">
        <v>150</v>
      </c>
    </row>
    <row r="108" spans="1:14" ht="15" thickBot="1" x14ac:dyDescent="0.35">
      <c r="A108" s="25">
        <f t="shared" si="6"/>
        <v>106</v>
      </c>
      <c r="B108" s="25" t="s">
        <v>71</v>
      </c>
      <c r="C108" s="27" t="s">
        <v>114</v>
      </c>
      <c r="D108" s="13">
        <v>2500</v>
      </c>
      <c r="E108" s="14"/>
      <c r="F108" s="13">
        <v>3050</v>
      </c>
      <c r="G108" s="14"/>
      <c r="H108" s="13">
        <f t="shared" si="4"/>
        <v>3050</v>
      </c>
      <c r="I108" s="14"/>
      <c r="J108" s="13">
        <v>5350</v>
      </c>
      <c r="K108" s="14"/>
      <c r="L108" s="13">
        <v>12325</v>
      </c>
      <c r="M108" s="14"/>
      <c r="N108" s="20">
        <v>150</v>
      </c>
    </row>
    <row r="109" spans="1:14" x14ac:dyDescent="0.3">
      <c r="A109" s="24">
        <f>ROW()-2</f>
        <v>107</v>
      </c>
      <c r="B109" s="24" t="s">
        <v>116</v>
      </c>
      <c r="C109" s="26" t="s">
        <v>117</v>
      </c>
      <c r="D109" s="9">
        <v>164</v>
      </c>
      <c r="E109" s="10"/>
      <c r="F109" s="9">
        <v>224</v>
      </c>
      <c r="G109" s="10"/>
      <c r="H109" s="9">
        <v>408</v>
      </c>
      <c r="I109" s="10"/>
      <c r="J109" s="9">
        <f>H109</f>
        <v>408</v>
      </c>
      <c r="K109" s="10">
        <v>250</v>
      </c>
      <c r="L109" s="9">
        <v>1026</v>
      </c>
      <c r="M109" s="10"/>
      <c r="N109" s="20">
        <v>150</v>
      </c>
    </row>
    <row r="110" spans="1:14" x14ac:dyDescent="0.3">
      <c r="A110" s="24">
        <f t="shared" ref="A110:A142" si="7">ROW()-2</f>
        <v>108</v>
      </c>
      <c r="B110" s="24" t="s">
        <v>116</v>
      </c>
      <c r="C110" s="26" t="s">
        <v>7</v>
      </c>
      <c r="D110" s="9">
        <v>349</v>
      </c>
      <c r="E110" s="10"/>
      <c r="F110" s="9">
        <v>434</v>
      </c>
      <c r="G110" s="10"/>
      <c r="H110" s="9">
        <v>816</v>
      </c>
      <c r="I110" s="10"/>
      <c r="J110" s="9">
        <f t="shared" ref="J110:J142" si="8">H110</f>
        <v>816</v>
      </c>
      <c r="K110" s="10"/>
      <c r="L110" s="9">
        <v>1434</v>
      </c>
      <c r="M110" s="10"/>
      <c r="N110" s="20">
        <v>150</v>
      </c>
    </row>
    <row r="111" spans="1:14" x14ac:dyDescent="0.3">
      <c r="A111" s="24">
        <f t="shared" si="7"/>
        <v>109</v>
      </c>
      <c r="B111" s="24" t="s">
        <v>116</v>
      </c>
      <c r="C111" s="26" t="s">
        <v>118</v>
      </c>
      <c r="D111" s="9">
        <v>362</v>
      </c>
      <c r="E111" s="10"/>
      <c r="F111" s="9">
        <v>658</v>
      </c>
      <c r="G111" s="10"/>
      <c r="H111" s="9">
        <v>1224</v>
      </c>
      <c r="I111" s="10"/>
      <c r="J111" s="9">
        <f t="shared" si="8"/>
        <v>1224</v>
      </c>
      <c r="K111" s="10"/>
      <c r="L111" s="9">
        <v>2132</v>
      </c>
      <c r="M111" s="10"/>
      <c r="N111" s="20">
        <v>150</v>
      </c>
    </row>
    <row r="112" spans="1:14" x14ac:dyDescent="0.3">
      <c r="A112" s="24">
        <f t="shared" si="7"/>
        <v>110</v>
      </c>
      <c r="B112" s="24" t="s">
        <v>116</v>
      </c>
      <c r="C112" s="26" t="s">
        <v>119</v>
      </c>
      <c r="D112" s="9">
        <v>362</v>
      </c>
      <c r="E112" s="10"/>
      <c r="F112" s="9">
        <v>658</v>
      </c>
      <c r="G112" s="10"/>
      <c r="H112" s="9">
        <v>1224</v>
      </c>
      <c r="I112" s="10"/>
      <c r="J112" s="9">
        <f t="shared" si="8"/>
        <v>1224</v>
      </c>
      <c r="K112" s="10"/>
      <c r="L112" s="9">
        <v>2132</v>
      </c>
      <c r="M112" s="10"/>
      <c r="N112" s="20">
        <v>150</v>
      </c>
    </row>
    <row r="113" spans="1:14" x14ac:dyDescent="0.3">
      <c r="A113" s="24">
        <f t="shared" si="7"/>
        <v>111</v>
      </c>
      <c r="B113" s="24" t="s">
        <v>116</v>
      </c>
      <c r="C113" s="26" t="s">
        <v>120</v>
      </c>
      <c r="D113" s="9">
        <v>382</v>
      </c>
      <c r="E113" s="10"/>
      <c r="F113" s="9">
        <v>546</v>
      </c>
      <c r="G113" s="10"/>
      <c r="H113" s="9">
        <v>908</v>
      </c>
      <c r="I113" s="10"/>
      <c r="J113" s="9">
        <f t="shared" si="8"/>
        <v>908</v>
      </c>
      <c r="K113" s="10"/>
      <c r="L113" s="9">
        <v>1816</v>
      </c>
      <c r="M113" s="10"/>
      <c r="N113" s="20">
        <v>150</v>
      </c>
    </row>
    <row r="114" spans="1:14" x14ac:dyDescent="0.3">
      <c r="A114" s="24">
        <f t="shared" si="7"/>
        <v>112</v>
      </c>
      <c r="B114" s="24" t="s">
        <v>116</v>
      </c>
      <c r="C114" s="26" t="s">
        <v>121</v>
      </c>
      <c r="D114" s="9">
        <v>316</v>
      </c>
      <c r="E114" s="10"/>
      <c r="F114" s="9">
        <v>434</v>
      </c>
      <c r="G114" s="10"/>
      <c r="H114" s="9">
        <v>816</v>
      </c>
      <c r="I114" s="10"/>
      <c r="J114" s="9">
        <f t="shared" si="8"/>
        <v>816</v>
      </c>
      <c r="K114" s="10"/>
      <c r="L114" s="9">
        <v>1618</v>
      </c>
      <c r="M114" s="10"/>
      <c r="N114" s="20">
        <v>150</v>
      </c>
    </row>
    <row r="115" spans="1:14" x14ac:dyDescent="0.3">
      <c r="A115" s="24">
        <f t="shared" si="7"/>
        <v>113</v>
      </c>
      <c r="B115" s="24" t="s">
        <v>116</v>
      </c>
      <c r="C115" s="26" t="s">
        <v>122</v>
      </c>
      <c r="D115" s="9">
        <v>382</v>
      </c>
      <c r="E115" s="10"/>
      <c r="F115" s="9">
        <v>546</v>
      </c>
      <c r="G115" s="10"/>
      <c r="H115" s="9">
        <v>1026</v>
      </c>
      <c r="I115" s="10"/>
      <c r="J115" s="9">
        <f t="shared" si="8"/>
        <v>1026</v>
      </c>
      <c r="K115" s="10"/>
      <c r="L115" s="9">
        <v>2026</v>
      </c>
      <c r="M115" s="10"/>
      <c r="N115" s="20">
        <v>150</v>
      </c>
    </row>
    <row r="116" spans="1:14" x14ac:dyDescent="0.3">
      <c r="A116" s="24">
        <f t="shared" si="7"/>
        <v>114</v>
      </c>
      <c r="B116" s="24" t="s">
        <v>116</v>
      </c>
      <c r="C116" s="26" t="s">
        <v>123</v>
      </c>
      <c r="D116" s="9">
        <v>362</v>
      </c>
      <c r="E116" s="10"/>
      <c r="F116" s="9">
        <v>526</v>
      </c>
      <c r="G116" s="10"/>
      <c r="H116" s="9">
        <v>1026</v>
      </c>
      <c r="I116" s="10"/>
      <c r="J116" s="9">
        <f t="shared" si="8"/>
        <v>1026</v>
      </c>
      <c r="K116" s="10"/>
      <c r="L116" s="9">
        <v>2026</v>
      </c>
      <c r="M116" s="10"/>
      <c r="N116" s="20">
        <v>150</v>
      </c>
    </row>
    <row r="117" spans="1:14" x14ac:dyDescent="0.3">
      <c r="A117" s="24">
        <f t="shared" si="7"/>
        <v>115</v>
      </c>
      <c r="B117" s="24" t="s">
        <v>116</v>
      </c>
      <c r="C117" s="26" t="s">
        <v>124</v>
      </c>
      <c r="D117" s="9">
        <v>441</v>
      </c>
      <c r="E117" s="10"/>
      <c r="F117" s="9">
        <v>632</v>
      </c>
      <c r="G117" s="10"/>
      <c r="H117" s="9">
        <v>1224</v>
      </c>
      <c r="I117" s="10"/>
      <c r="J117" s="9">
        <f t="shared" si="8"/>
        <v>1224</v>
      </c>
      <c r="K117" s="10"/>
      <c r="L117" s="9">
        <v>2434</v>
      </c>
      <c r="M117" s="10"/>
      <c r="N117" s="20">
        <v>150</v>
      </c>
    </row>
    <row r="118" spans="1:14" x14ac:dyDescent="0.3">
      <c r="A118" s="24">
        <f t="shared" si="7"/>
        <v>116</v>
      </c>
      <c r="B118" s="24" t="s">
        <v>116</v>
      </c>
      <c r="C118" s="26" t="s">
        <v>125</v>
      </c>
      <c r="D118" s="9">
        <v>474</v>
      </c>
      <c r="E118" s="10"/>
      <c r="F118" s="9">
        <v>757</v>
      </c>
      <c r="G118" s="10"/>
      <c r="H118" s="9">
        <v>1342</v>
      </c>
      <c r="I118" s="10"/>
      <c r="J118" s="9">
        <f t="shared" si="8"/>
        <v>1342</v>
      </c>
      <c r="K118" s="10"/>
      <c r="L118" s="9">
        <v>2638</v>
      </c>
      <c r="M118" s="10"/>
      <c r="N118" s="20">
        <v>150</v>
      </c>
    </row>
    <row r="119" spans="1:14" x14ac:dyDescent="0.3">
      <c r="A119" s="24">
        <f t="shared" si="7"/>
        <v>117</v>
      </c>
      <c r="B119" s="24" t="s">
        <v>116</v>
      </c>
      <c r="C119" s="26" t="s">
        <v>126</v>
      </c>
      <c r="D119" s="9">
        <v>382</v>
      </c>
      <c r="E119" s="10"/>
      <c r="F119" s="9">
        <v>546</v>
      </c>
      <c r="G119" s="10"/>
      <c r="H119" s="9">
        <v>1026</v>
      </c>
      <c r="I119" s="10"/>
      <c r="J119" s="9">
        <f t="shared" si="8"/>
        <v>1026</v>
      </c>
      <c r="K119" s="10"/>
      <c r="L119" s="9">
        <v>2026</v>
      </c>
      <c r="M119" s="10"/>
      <c r="N119" s="20">
        <v>150</v>
      </c>
    </row>
    <row r="120" spans="1:14" x14ac:dyDescent="0.3">
      <c r="A120" s="24">
        <f t="shared" si="7"/>
        <v>118</v>
      </c>
      <c r="B120" s="24" t="s">
        <v>116</v>
      </c>
      <c r="C120" s="26" t="s">
        <v>127</v>
      </c>
      <c r="D120" s="9">
        <v>520</v>
      </c>
      <c r="E120" s="10"/>
      <c r="F120" s="9">
        <v>757</v>
      </c>
      <c r="G120" s="10"/>
      <c r="H120" s="9">
        <v>1526</v>
      </c>
      <c r="I120" s="10"/>
      <c r="J120" s="9">
        <f t="shared" si="8"/>
        <v>1526</v>
      </c>
      <c r="K120" s="10"/>
      <c r="L120" s="9">
        <v>2526</v>
      </c>
      <c r="M120" s="10"/>
      <c r="N120" s="20">
        <v>150</v>
      </c>
    </row>
    <row r="121" spans="1:14" x14ac:dyDescent="0.3">
      <c r="A121" s="24">
        <f t="shared" si="7"/>
        <v>119</v>
      </c>
      <c r="B121" s="24" t="s">
        <v>116</v>
      </c>
      <c r="C121" s="26" t="s">
        <v>128</v>
      </c>
      <c r="D121" s="9">
        <v>553</v>
      </c>
      <c r="E121" s="10"/>
      <c r="F121" s="9">
        <v>842</v>
      </c>
      <c r="G121" s="10"/>
      <c r="H121" s="9">
        <v>1822</v>
      </c>
      <c r="I121" s="10"/>
      <c r="J121" s="9">
        <f t="shared" si="8"/>
        <v>1822</v>
      </c>
      <c r="K121" s="10"/>
      <c r="L121" s="9">
        <v>3132</v>
      </c>
      <c r="M121" s="10"/>
      <c r="N121" s="20">
        <v>150</v>
      </c>
    </row>
    <row r="122" spans="1:14" x14ac:dyDescent="0.3">
      <c r="A122" s="24">
        <f t="shared" si="7"/>
        <v>120</v>
      </c>
      <c r="B122" s="24" t="s">
        <v>116</v>
      </c>
      <c r="C122" s="26" t="s">
        <v>129</v>
      </c>
      <c r="D122" s="9">
        <v>474</v>
      </c>
      <c r="E122" s="10"/>
      <c r="F122" s="9">
        <v>632</v>
      </c>
      <c r="G122" s="10"/>
      <c r="H122" s="9">
        <v>1224</v>
      </c>
      <c r="I122" s="10"/>
      <c r="J122" s="9">
        <f t="shared" si="8"/>
        <v>1224</v>
      </c>
      <c r="K122" s="10"/>
      <c r="L122" s="9">
        <v>2322</v>
      </c>
      <c r="M122" s="10"/>
      <c r="N122" s="20">
        <v>150</v>
      </c>
    </row>
    <row r="123" spans="1:14" x14ac:dyDescent="0.3">
      <c r="A123" s="24">
        <f t="shared" si="7"/>
        <v>121</v>
      </c>
      <c r="B123" s="24" t="s">
        <v>116</v>
      </c>
      <c r="C123" s="26" t="s">
        <v>130</v>
      </c>
      <c r="D123" s="9">
        <v>316</v>
      </c>
      <c r="E123" s="10"/>
      <c r="F123" s="9">
        <v>434</v>
      </c>
      <c r="G123" s="10"/>
      <c r="H123" s="9">
        <v>711</v>
      </c>
      <c r="I123" s="10"/>
      <c r="J123" s="9">
        <f t="shared" si="8"/>
        <v>711</v>
      </c>
      <c r="K123" s="10"/>
      <c r="L123" s="9">
        <v>1434</v>
      </c>
      <c r="M123" s="10"/>
      <c r="N123" s="20">
        <v>150</v>
      </c>
    </row>
    <row r="124" spans="1:14" x14ac:dyDescent="0.3">
      <c r="A124" s="24">
        <f t="shared" si="7"/>
        <v>122</v>
      </c>
      <c r="B124" s="24" t="s">
        <v>116</v>
      </c>
      <c r="C124" s="26" t="s">
        <v>131</v>
      </c>
      <c r="D124" s="9">
        <v>283</v>
      </c>
      <c r="E124" s="10"/>
      <c r="F124" s="9">
        <v>434</v>
      </c>
      <c r="G124" s="10"/>
      <c r="H124" s="9">
        <v>711</v>
      </c>
      <c r="I124" s="10"/>
      <c r="J124" s="9">
        <f t="shared" si="8"/>
        <v>711</v>
      </c>
      <c r="K124" s="10"/>
      <c r="L124" s="9">
        <v>1434</v>
      </c>
      <c r="M124" s="10"/>
      <c r="N124" s="20">
        <v>150</v>
      </c>
    </row>
    <row r="125" spans="1:14" x14ac:dyDescent="0.3">
      <c r="A125" s="24">
        <f t="shared" si="7"/>
        <v>123</v>
      </c>
      <c r="B125" s="24" t="s">
        <v>116</v>
      </c>
      <c r="C125" s="26" t="s">
        <v>132</v>
      </c>
      <c r="D125" s="9">
        <v>1421</v>
      </c>
      <c r="E125" s="10"/>
      <c r="F125" s="9">
        <v>1901</v>
      </c>
      <c r="G125" s="10"/>
      <c r="H125" s="9">
        <v>3230</v>
      </c>
      <c r="I125" s="10"/>
      <c r="J125" s="9">
        <f t="shared" si="8"/>
        <v>3230</v>
      </c>
      <c r="K125" s="10"/>
      <c r="L125" s="9">
        <v>6072</v>
      </c>
      <c r="M125" s="10"/>
      <c r="N125" s="20">
        <v>150</v>
      </c>
    </row>
    <row r="126" spans="1:14" x14ac:dyDescent="0.3">
      <c r="A126" s="24">
        <f t="shared" si="7"/>
        <v>124</v>
      </c>
      <c r="B126" s="24" t="s">
        <v>116</v>
      </c>
      <c r="C126" s="26" t="s">
        <v>133</v>
      </c>
      <c r="D126" s="9">
        <v>283</v>
      </c>
      <c r="E126" s="10"/>
      <c r="F126" s="9">
        <v>382</v>
      </c>
      <c r="G126" s="10"/>
      <c r="H126" s="9">
        <v>717</v>
      </c>
      <c r="I126" s="10"/>
      <c r="J126" s="9">
        <f t="shared" si="8"/>
        <v>717</v>
      </c>
      <c r="K126" s="10"/>
      <c r="L126" s="9">
        <v>1618</v>
      </c>
      <c r="M126" s="10"/>
      <c r="N126" s="20">
        <v>150</v>
      </c>
    </row>
    <row r="127" spans="1:14" x14ac:dyDescent="0.3">
      <c r="A127" s="24">
        <f t="shared" si="7"/>
        <v>125</v>
      </c>
      <c r="B127" s="24" t="s">
        <v>116</v>
      </c>
      <c r="C127" s="26" t="s">
        <v>134</v>
      </c>
      <c r="D127" s="9">
        <v>520</v>
      </c>
      <c r="E127" s="10"/>
      <c r="F127" s="9">
        <v>434</v>
      </c>
      <c r="G127" s="10"/>
      <c r="H127" s="9">
        <v>908</v>
      </c>
      <c r="I127" s="10"/>
      <c r="J127" s="9">
        <f t="shared" si="8"/>
        <v>908</v>
      </c>
      <c r="K127" s="10"/>
      <c r="L127" s="9">
        <v>1816</v>
      </c>
      <c r="M127" s="10"/>
      <c r="N127" s="20">
        <v>150</v>
      </c>
    </row>
    <row r="128" spans="1:14" x14ac:dyDescent="0.3">
      <c r="A128" s="24">
        <f t="shared" si="7"/>
        <v>126</v>
      </c>
      <c r="B128" s="24" t="s">
        <v>116</v>
      </c>
      <c r="C128" s="26" t="s">
        <v>135</v>
      </c>
      <c r="D128" s="9">
        <v>520</v>
      </c>
      <c r="E128" s="10"/>
      <c r="F128" s="9">
        <v>783</v>
      </c>
      <c r="G128" s="10"/>
      <c r="H128" s="9">
        <v>1526</v>
      </c>
      <c r="I128" s="10"/>
      <c r="J128" s="9">
        <f t="shared" si="8"/>
        <v>1526</v>
      </c>
      <c r="K128" s="10"/>
      <c r="L128" s="9">
        <v>3033</v>
      </c>
      <c r="M128" s="10"/>
      <c r="N128" s="20">
        <v>150</v>
      </c>
    </row>
    <row r="129" spans="1:14" x14ac:dyDescent="0.3">
      <c r="A129" s="24">
        <f t="shared" si="7"/>
        <v>127</v>
      </c>
      <c r="B129" s="24" t="s">
        <v>116</v>
      </c>
      <c r="C129" s="26" t="s">
        <v>136</v>
      </c>
      <c r="D129" s="9">
        <v>553</v>
      </c>
      <c r="E129" s="10"/>
      <c r="F129" s="9">
        <v>842</v>
      </c>
      <c r="G129" s="10"/>
      <c r="H129" s="9">
        <v>1618</v>
      </c>
      <c r="I129" s="10"/>
      <c r="J129" s="9">
        <f t="shared" si="8"/>
        <v>1618</v>
      </c>
      <c r="K129" s="10"/>
      <c r="L129" s="9">
        <v>3230</v>
      </c>
      <c r="M129" s="10"/>
      <c r="N129" s="20">
        <v>150</v>
      </c>
    </row>
    <row r="130" spans="1:14" x14ac:dyDescent="0.3">
      <c r="A130" s="24">
        <f t="shared" si="7"/>
        <v>128</v>
      </c>
      <c r="B130" s="24" t="s">
        <v>116</v>
      </c>
      <c r="C130" s="26" t="s">
        <v>137</v>
      </c>
      <c r="D130" s="9">
        <v>1263</v>
      </c>
      <c r="E130" s="10"/>
      <c r="F130" s="9">
        <v>2204</v>
      </c>
      <c r="G130" s="10"/>
      <c r="H130" s="9">
        <v>3632</v>
      </c>
      <c r="I130" s="10"/>
      <c r="J130" s="9">
        <f t="shared" si="8"/>
        <v>3632</v>
      </c>
      <c r="K130" s="10"/>
      <c r="L130" s="9">
        <v>6993</v>
      </c>
      <c r="M130" s="10"/>
      <c r="N130" s="20">
        <v>150</v>
      </c>
    </row>
    <row r="131" spans="1:14" x14ac:dyDescent="0.3">
      <c r="A131" s="24">
        <f t="shared" si="7"/>
        <v>129</v>
      </c>
      <c r="B131" s="24" t="s">
        <v>116</v>
      </c>
      <c r="C131" s="26" t="s">
        <v>138</v>
      </c>
      <c r="D131" s="9">
        <v>757</v>
      </c>
      <c r="E131" s="10"/>
      <c r="F131" s="9">
        <v>1270</v>
      </c>
      <c r="G131" s="10"/>
      <c r="H131" s="9">
        <v>2434</v>
      </c>
      <c r="I131" s="10"/>
      <c r="J131" s="9">
        <f t="shared" si="8"/>
        <v>2434</v>
      </c>
      <c r="K131" s="10"/>
      <c r="L131" s="9">
        <v>4664</v>
      </c>
      <c r="M131" s="10"/>
      <c r="N131" s="20">
        <v>150</v>
      </c>
    </row>
    <row r="132" spans="1:14" x14ac:dyDescent="0.3">
      <c r="A132" s="24">
        <f t="shared" si="7"/>
        <v>130</v>
      </c>
      <c r="B132" s="24" t="s">
        <v>116</v>
      </c>
      <c r="C132" s="26" t="s">
        <v>139</v>
      </c>
      <c r="D132" s="9">
        <v>1737</v>
      </c>
      <c r="E132" s="10"/>
      <c r="F132" s="9">
        <v>2289</v>
      </c>
      <c r="G132" s="10"/>
      <c r="H132" s="9">
        <v>3474</v>
      </c>
      <c r="I132" s="10"/>
      <c r="J132" s="9">
        <f t="shared" si="8"/>
        <v>3474</v>
      </c>
      <c r="K132" s="10"/>
      <c r="L132" s="9">
        <v>6316</v>
      </c>
      <c r="M132" s="10"/>
      <c r="N132" s="20">
        <v>150</v>
      </c>
    </row>
    <row r="133" spans="1:14" x14ac:dyDescent="0.3">
      <c r="A133" s="24">
        <f t="shared" si="7"/>
        <v>131</v>
      </c>
      <c r="B133" s="24" t="s">
        <v>116</v>
      </c>
      <c r="C133" s="26" t="s">
        <v>140</v>
      </c>
      <c r="D133" s="9">
        <v>2329</v>
      </c>
      <c r="E133" s="10"/>
      <c r="F133" s="9">
        <v>2645</v>
      </c>
      <c r="G133" s="10"/>
      <c r="H133" s="9">
        <v>3868</v>
      </c>
      <c r="I133" s="10"/>
      <c r="J133" s="9">
        <f t="shared" si="8"/>
        <v>3868</v>
      </c>
      <c r="K133" s="10"/>
      <c r="L133" s="9">
        <v>7309</v>
      </c>
      <c r="M133" s="10"/>
      <c r="N133" s="20">
        <v>150</v>
      </c>
    </row>
    <row r="134" spans="1:14" x14ac:dyDescent="0.3">
      <c r="A134" s="24">
        <f t="shared" si="7"/>
        <v>132</v>
      </c>
      <c r="B134" s="24" t="s">
        <v>116</v>
      </c>
      <c r="C134" s="26" t="s">
        <v>141</v>
      </c>
      <c r="D134" s="9">
        <v>4184</v>
      </c>
      <c r="E134" s="10"/>
      <c r="F134" s="9">
        <v>5329</v>
      </c>
      <c r="G134" s="10"/>
      <c r="H134" s="9">
        <v>7303</v>
      </c>
      <c r="I134" s="10"/>
      <c r="J134" s="9">
        <f t="shared" si="8"/>
        <v>7303</v>
      </c>
      <c r="K134" s="10"/>
      <c r="L134" s="9">
        <v>13105</v>
      </c>
      <c r="M134" s="10"/>
      <c r="N134" s="20">
        <v>150</v>
      </c>
    </row>
    <row r="135" spans="1:14" x14ac:dyDescent="0.3">
      <c r="A135" s="24">
        <f t="shared" si="7"/>
        <v>133</v>
      </c>
      <c r="B135" s="24" t="s">
        <v>116</v>
      </c>
      <c r="C135" s="26" t="s">
        <v>142</v>
      </c>
      <c r="D135" s="9">
        <v>4066</v>
      </c>
      <c r="E135" s="10"/>
      <c r="F135" s="9">
        <v>5487</v>
      </c>
      <c r="G135" s="10"/>
      <c r="H135" s="9">
        <v>7618</v>
      </c>
      <c r="I135" s="10"/>
      <c r="J135" s="9">
        <f t="shared" si="8"/>
        <v>7618</v>
      </c>
      <c r="K135" s="10"/>
      <c r="L135" s="9">
        <v>13263</v>
      </c>
      <c r="M135" s="10"/>
      <c r="N135" s="20">
        <v>150</v>
      </c>
    </row>
    <row r="136" spans="1:14" x14ac:dyDescent="0.3">
      <c r="A136" s="24">
        <f t="shared" si="7"/>
        <v>134</v>
      </c>
      <c r="B136" s="24" t="s">
        <v>116</v>
      </c>
      <c r="C136" s="26" t="s">
        <v>143</v>
      </c>
      <c r="D136" s="9">
        <v>4224</v>
      </c>
      <c r="E136" s="10"/>
      <c r="F136" s="9">
        <v>5645</v>
      </c>
      <c r="G136" s="10"/>
      <c r="H136" s="9">
        <v>7776</v>
      </c>
      <c r="I136" s="10"/>
      <c r="J136" s="9">
        <f t="shared" si="8"/>
        <v>7776</v>
      </c>
      <c r="K136" s="10"/>
      <c r="L136" s="9">
        <v>13421</v>
      </c>
      <c r="M136" s="10"/>
      <c r="N136" s="20">
        <v>150</v>
      </c>
    </row>
    <row r="137" spans="1:14" x14ac:dyDescent="0.3">
      <c r="A137" s="24">
        <f t="shared" si="7"/>
        <v>135</v>
      </c>
      <c r="B137" s="24" t="s">
        <v>116</v>
      </c>
      <c r="C137" s="26" t="s">
        <v>144</v>
      </c>
      <c r="D137" s="9">
        <v>2329</v>
      </c>
      <c r="E137" s="10"/>
      <c r="F137" s="9">
        <v>3118</v>
      </c>
      <c r="G137" s="10"/>
      <c r="H137" s="9">
        <v>4664</v>
      </c>
      <c r="I137" s="10"/>
      <c r="J137" s="9">
        <f t="shared" si="8"/>
        <v>4664</v>
      </c>
      <c r="K137" s="10"/>
      <c r="L137" s="9">
        <v>9000</v>
      </c>
      <c r="M137" s="10"/>
      <c r="N137" s="20">
        <v>150</v>
      </c>
    </row>
    <row r="138" spans="1:14" x14ac:dyDescent="0.3">
      <c r="A138" s="24">
        <f t="shared" si="7"/>
        <v>136</v>
      </c>
      <c r="B138" s="24" t="s">
        <v>116</v>
      </c>
      <c r="C138" s="26" t="s">
        <v>145</v>
      </c>
      <c r="D138" s="9">
        <v>3553</v>
      </c>
      <c r="E138" s="10"/>
      <c r="F138" s="9">
        <v>4671</v>
      </c>
      <c r="G138" s="10"/>
      <c r="H138" s="9">
        <v>7026</v>
      </c>
      <c r="I138" s="10"/>
      <c r="J138" s="9">
        <f t="shared" si="8"/>
        <v>7026</v>
      </c>
      <c r="K138" s="10"/>
      <c r="L138" s="9">
        <v>13500</v>
      </c>
      <c r="M138" s="10"/>
      <c r="N138" s="20">
        <v>150</v>
      </c>
    </row>
    <row r="139" spans="1:14" x14ac:dyDescent="0.3">
      <c r="A139" s="24">
        <f t="shared" si="7"/>
        <v>137</v>
      </c>
      <c r="B139" s="24" t="s">
        <v>116</v>
      </c>
      <c r="C139" s="26" t="s">
        <v>146</v>
      </c>
      <c r="D139" s="9">
        <v>579</v>
      </c>
      <c r="E139" s="10"/>
      <c r="F139" s="9">
        <v>875</v>
      </c>
      <c r="G139" s="10"/>
      <c r="H139" s="9">
        <v>1618</v>
      </c>
      <c r="I139" s="10"/>
      <c r="J139" s="9">
        <f t="shared" si="8"/>
        <v>1618</v>
      </c>
      <c r="K139" s="10"/>
      <c r="L139" s="9">
        <v>2855</v>
      </c>
      <c r="M139" s="10"/>
      <c r="N139" s="20">
        <v>150</v>
      </c>
    </row>
    <row r="140" spans="1:14" x14ac:dyDescent="0.3">
      <c r="A140" s="24">
        <f t="shared" si="7"/>
        <v>138</v>
      </c>
      <c r="B140" s="24" t="s">
        <v>116</v>
      </c>
      <c r="C140" s="26" t="s">
        <v>147</v>
      </c>
      <c r="D140" s="9">
        <v>322</v>
      </c>
      <c r="E140" s="10"/>
      <c r="F140" s="9">
        <v>539</v>
      </c>
      <c r="G140" s="10"/>
      <c r="H140" s="9">
        <v>1026</v>
      </c>
      <c r="I140" s="10"/>
      <c r="J140" s="9">
        <f t="shared" si="8"/>
        <v>1026</v>
      </c>
      <c r="K140" s="10"/>
      <c r="L140" s="9">
        <v>2026</v>
      </c>
      <c r="M140" s="10"/>
      <c r="N140" s="20">
        <v>150</v>
      </c>
    </row>
    <row r="141" spans="1:14" x14ac:dyDescent="0.3">
      <c r="A141" s="24">
        <f t="shared" si="7"/>
        <v>139</v>
      </c>
      <c r="B141" s="24" t="s">
        <v>116</v>
      </c>
      <c r="C141" s="26" t="s">
        <v>148</v>
      </c>
      <c r="D141" s="9">
        <v>322</v>
      </c>
      <c r="E141" s="10"/>
      <c r="F141" s="9">
        <v>539</v>
      </c>
      <c r="G141" s="10"/>
      <c r="H141" s="9">
        <v>1026</v>
      </c>
      <c r="I141" s="10"/>
      <c r="J141" s="9">
        <f t="shared" si="8"/>
        <v>1026</v>
      </c>
      <c r="K141" s="10"/>
      <c r="L141" s="9">
        <v>2026</v>
      </c>
      <c r="M141" s="10"/>
      <c r="N141" s="20">
        <v>150</v>
      </c>
    </row>
    <row r="142" spans="1:14" ht="15" thickBot="1" x14ac:dyDescent="0.35">
      <c r="A142" s="25">
        <f t="shared" si="7"/>
        <v>140</v>
      </c>
      <c r="B142" s="25" t="s">
        <v>116</v>
      </c>
      <c r="C142" s="27" t="s">
        <v>149</v>
      </c>
      <c r="D142" s="13">
        <v>645</v>
      </c>
      <c r="E142" s="14"/>
      <c r="F142" s="13">
        <v>1066</v>
      </c>
      <c r="G142" s="14"/>
      <c r="H142" s="13">
        <v>2026</v>
      </c>
      <c r="I142" s="14"/>
      <c r="J142" s="13">
        <f t="shared" si="8"/>
        <v>2026</v>
      </c>
      <c r="K142" s="14"/>
      <c r="L142" s="13">
        <v>3855</v>
      </c>
      <c r="M142" s="14"/>
      <c r="N142" s="20">
        <v>150</v>
      </c>
    </row>
    <row r="143" spans="1:14" x14ac:dyDescent="0.3">
      <c r="A143" s="24">
        <f>ROW()-2</f>
        <v>141</v>
      </c>
      <c r="B143" s="24" t="s">
        <v>150</v>
      </c>
      <c r="C143" s="26" t="s">
        <v>151</v>
      </c>
      <c r="D143" s="9">
        <v>1455</v>
      </c>
      <c r="E143" s="10">
        <v>170</v>
      </c>
      <c r="F143" s="9">
        <v>1620</v>
      </c>
      <c r="G143" s="10">
        <v>210</v>
      </c>
      <c r="H143" s="9">
        <f>F143</f>
        <v>1620</v>
      </c>
      <c r="I143" s="10">
        <f>G143</f>
        <v>210</v>
      </c>
      <c r="J143" s="9">
        <v>2845</v>
      </c>
      <c r="K143" s="10">
        <v>255</v>
      </c>
      <c r="L143" s="9">
        <v>5200</v>
      </c>
      <c r="M143" s="10">
        <v>515</v>
      </c>
      <c r="N143" s="20">
        <v>150</v>
      </c>
    </row>
    <row r="144" spans="1:14" x14ac:dyDescent="0.3">
      <c r="A144" s="24">
        <f t="shared" ref="A144:A208" si="9">ROW()-2</f>
        <v>142</v>
      </c>
      <c r="B144" s="24" t="s">
        <v>150</v>
      </c>
      <c r="C144" s="26" t="s">
        <v>152</v>
      </c>
      <c r="D144" s="9">
        <v>1815</v>
      </c>
      <c r="E144" s="10">
        <v>345</v>
      </c>
      <c r="F144" s="9">
        <v>2020</v>
      </c>
      <c r="G144" s="10">
        <v>430</v>
      </c>
      <c r="H144" s="9">
        <f t="shared" ref="H144:H166" si="10">F144</f>
        <v>2020</v>
      </c>
      <c r="I144" s="10">
        <f t="shared" ref="I144:I166" si="11">G144</f>
        <v>430</v>
      </c>
      <c r="J144" s="9">
        <v>4465</v>
      </c>
      <c r="K144" s="10">
        <v>515</v>
      </c>
      <c r="L144" s="9">
        <v>8865</v>
      </c>
      <c r="M144" s="10">
        <v>860</v>
      </c>
      <c r="N144" s="20">
        <v>150</v>
      </c>
    </row>
    <row r="145" spans="1:14" x14ac:dyDescent="0.3">
      <c r="A145" s="24">
        <f t="shared" si="9"/>
        <v>143</v>
      </c>
      <c r="B145" s="24" t="s">
        <v>150</v>
      </c>
      <c r="C145" s="26" t="s">
        <v>153</v>
      </c>
      <c r="D145" s="9">
        <v>1625</v>
      </c>
      <c r="E145" s="10">
        <v>195</v>
      </c>
      <c r="F145" s="9">
        <v>1795</v>
      </c>
      <c r="G145" s="10">
        <v>220</v>
      </c>
      <c r="H145" s="9">
        <f t="shared" si="10"/>
        <v>1795</v>
      </c>
      <c r="I145" s="10">
        <f t="shared" si="11"/>
        <v>220</v>
      </c>
      <c r="J145" s="9">
        <v>3330</v>
      </c>
      <c r="K145" s="10">
        <v>300</v>
      </c>
      <c r="L145" s="9">
        <v>6040</v>
      </c>
      <c r="M145" s="10">
        <v>560</v>
      </c>
      <c r="N145" s="20">
        <v>150</v>
      </c>
    </row>
    <row r="146" spans="1:14" x14ac:dyDescent="0.3">
      <c r="A146" s="24">
        <f t="shared" si="9"/>
        <v>144</v>
      </c>
      <c r="B146" s="24" t="s">
        <v>150</v>
      </c>
      <c r="C146" s="26" t="s">
        <v>154</v>
      </c>
      <c r="D146" s="9">
        <v>2085</v>
      </c>
      <c r="E146" s="10">
        <v>375</v>
      </c>
      <c r="F146" s="9">
        <v>2320</v>
      </c>
      <c r="G146" s="10">
        <v>480</v>
      </c>
      <c r="H146" s="9">
        <f t="shared" si="10"/>
        <v>2320</v>
      </c>
      <c r="I146" s="10">
        <f t="shared" si="11"/>
        <v>480</v>
      </c>
      <c r="J146" s="9">
        <v>5290</v>
      </c>
      <c r="K146" s="10">
        <v>600</v>
      </c>
      <c r="L146" s="9">
        <v>10135</v>
      </c>
      <c r="M146" s="10">
        <v>945</v>
      </c>
      <c r="N146" s="20">
        <v>150</v>
      </c>
    </row>
    <row r="147" spans="1:14" x14ac:dyDescent="0.3">
      <c r="A147" s="24">
        <f t="shared" si="9"/>
        <v>145</v>
      </c>
      <c r="B147" s="24" t="s">
        <v>150</v>
      </c>
      <c r="C147" s="26" t="s">
        <v>155</v>
      </c>
      <c r="D147" s="9">
        <v>2055</v>
      </c>
      <c r="E147" s="10">
        <v>255</v>
      </c>
      <c r="F147" s="9">
        <v>2295</v>
      </c>
      <c r="G147" s="10">
        <v>300</v>
      </c>
      <c r="H147" s="9">
        <f t="shared" si="10"/>
        <v>2295</v>
      </c>
      <c r="I147" s="10">
        <f t="shared" si="11"/>
        <v>300</v>
      </c>
      <c r="J147" s="9">
        <v>3895</v>
      </c>
      <c r="K147" s="10">
        <v>325</v>
      </c>
      <c r="L147" s="9">
        <v>6040</v>
      </c>
      <c r="M147" s="10">
        <v>515</v>
      </c>
      <c r="N147" s="20">
        <v>150</v>
      </c>
    </row>
    <row r="148" spans="1:14" x14ac:dyDescent="0.3">
      <c r="A148" s="24">
        <f t="shared" si="9"/>
        <v>146</v>
      </c>
      <c r="B148" s="24" t="s">
        <v>150</v>
      </c>
      <c r="C148" s="26" t="s">
        <v>156</v>
      </c>
      <c r="D148" s="9">
        <v>2380</v>
      </c>
      <c r="E148" s="10">
        <v>375</v>
      </c>
      <c r="F148" s="9">
        <v>2635</v>
      </c>
      <c r="G148" s="10">
        <v>480</v>
      </c>
      <c r="H148" s="9">
        <f t="shared" si="10"/>
        <v>2635</v>
      </c>
      <c r="I148" s="10">
        <f t="shared" si="11"/>
        <v>480</v>
      </c>
      <c r="J148" s="9">
        <v>6040</v>
      </c>
      <c r="K148" s="10">
        <v>600</v>
      </c>
      <c r="L148" s="9">
        <v>11460</v>
      </c>
      <c r="M148" s="10">
        <v>945</v>
      </c>
      <c r="N148" s="20">
        <v>150</v>
      </c>
    </row>
    <row r="149" spans="1:14" x14ac:dyDescent="0.3">
      <c r="A149" s="24">
        <f t="shared" si="9"/>
        <v>147</v>
      </c>
      <c r="B149" s="24" t="s">
        <v>150</v>
      </c>
      <c r="C149" s="26" t="s">
        <v>157</v>
      </c>
      <c r="D149" s="9">
        <v>1625</v>
      </c>
      <c r="E149" s="10">
        <v>190</v>
      </c>
      <c r="F149" s="9">
        <v>1815</v>
      </c>
      <c r="G149" s="10">
        <v>210</v>
      </c>
      <c r="H149" s="9">
        <f t="shared" si="10"/>
        <v>1815</v>
      </c>
      <c r="I149" s="10">
        <f t="shared" si="11"/>
        <v>210</v>
      </c>
      <c r="J149" s="9">
        <v>3765</v>
      </c>
      <c r="K149" s="10">
        <v>295</v>
      </c>
      <c r="L149" s="9">
        <v>7430</v>
      </c>
      <c r="M149" s="10">
        <v>515</v>
      </c>
      <c r="N149" s="20">
        <v>150</v>
      </c>
    </row>
    <row r="150" spans="1:14" x14ac:dyDescent="0.3">
      <c r="A150" s="24">
        <f t="shared" si="9"/>
        <v>148</v>
      </c>
      <c r="B150" s="24" t="s">
        <v>150</v>
      </c>
      <c r="C150" s="26" t="s">
        <v>158</v>
      </c>
      <c r="D150" s="9">
        <v>1780</v>
      </c>
      <c r="E150" s="10">
        <v>190</v>
      </c>
      <c r="F150" s="9">
        <v>1975</v>
      </c>
      <c r="G150" s="10">
        <v>215</v>
      </c>
      <c r="H150" s="9">
        <f t="shared" si="10"/>
        <v>1975</v>
      </c>
      <c r="I150" s="10">
        <f t="shared" si="11"/>
        <v>215</v>
      </c>
      <c r="J150" s="9">
        <v>4465</v>
      </c>
      <c r="K150" s="10">
        <v>325</v>
      </c>
      <c r="L150" s="9">
        <v>8055</v>
      </c>
      <c r="M150" s="10">
        <v>600</v>
      </c>
      <c r="N150" s="20">
        <v>150</v>
      </c>
    </row>
    <row r="151" spans="1:14" x14ac:dyDescent="0.3">
      <c r="A151" s="24">
        <f t="shared" si="9"/>
        <v>149</v>
      </c>
      <c r="B151" s="24" t="s">
        <v>150</v>
      </c>
      <c r="C151" s="26" t="s">
        <v>159</v>
      </c>
      <c r="D151" s="9">
        <v>1215</v>
      </c>
      <c r="E151" s="10">
        <v>145</v>
      </c>
      <c r="F151" s="9">
        <v>1346</v>
      </c>
      <c r="G151" s="10">
        <v>170</v>
      </c>
      <c r="H151" s="9">
        <f t="shared" si="10"/>
        <v>1346</v>
      </c>
      <c r="I151" s="10">
        <f t="shared" si="11"/>
        <v>170</v>
      </c>
      <c r="J151" s="9">
        <v>2845</v>
      </c>
      <c r="K151" s="10">
        <v>220</v>
      </c>
      <c r="L151" s="9">
        <v>6040</v>
      </c>
      <c r="M151" s="10">
        <v>255</v>
      </c>
      <c r="N151" s="20">
        <v>150</v>
      </c>
    </row>
    <row r="152" spans="1:14" x14ac:dyDescent="0.3">
      <c r="A152" s="24">
        <f t="shared" si="9"/>
        <v>150</v>
      </c>
      <c r="B152" s="24" t="s">
        <v>150</v>
      </c>
      <c r="C152" s="26" t="s">
        <v>160</v>
      </c>
      <c r="D152" s="9">
        <v>1780</v>
      </c>
      <c r="E152" s="10">
        <v>255</v>
      </c>
      <c r="F152" s="9">
        <v>1975</v>
      </c>
      <c r="G152" s="10">
        <v>305</v>
      </c>
      <c r="H152" s="9">
        <f t="shared" si="10"/>
        <v>1975</v>
      </c>
      <c r="I152" s="10">
        <f t="shared" si="11"/>
        <v>305</v>
      </c>
      <c r="J152" s="9">
        <v>3420</v>
      </c>
      <c r="K152" s="10">
        <v>375</v>
      </c>
      <c r="L152" s="9">
        <v>8055</v>
      </c>
      <c r="M152" s="10">
        <v>765</v>
      </c>
      <c r="N152" s="20">
        <v>150</v>
      </c>
    </row>
    <row r="153" spans="1:14" x14ac:dyDescent="0.3">
      <c r="A153" s="24">
        <f t="shared" si="9"/>
        <v>151</v>
      </c>
      <c r="B153" s="24" t="s">
        <v>150</v>
      </c>
      <c r="C153" s="26" t="s">
        <v>161</v>
      </c>
      <c r="D153" s="9">
        <v>1925</v>
      </c>
      <c r="E153" s="10">
        <v>300</v>
      </c>
      <c r="F153" s="9">
        <v>2145</v>
      </c>
      <c r="G153" s="10">
        <v>345</v>
      </c>
      <c r="H153" s="9">
        <f t="shared" si="10"/>
        <v>2145</v>
      </c>
      <c r="I153" s="10">
        <f t="shared" si="11"/>
        <v>345</v>
      </c>
      <c r="J153" s="9">
        <v>4165</v>
      </c>
      <c r="K153" s="10">
        <v>430</v>
      </c>
      <c r="L153" s="9">
        <v>8335</v>
      </c>
      <c r="M153" s="10">
        <v>860</v>
      </c>
      <c r="N153" s="20">
        <v>150</v>
      </c>
    </row>
    <row r="154" spans="1:14" x14ac:dyDescent="0.3">
      <c r="A154" s="24">
        <f t="shared" si="9"/>
        <v>152</v>
      </c>
      <c r="B154" s="24" t="s">
        <v>150</v>
      </c>
      <c r="C154" s="26" t="s">
        <v>162</v>
      </c>
      <c r="D154" s="9">
        <v>1780</v>
      </c>
      <c r="E154" s="10">
        <v>255</v>
      </c>
      <c r="F154" s="9">
        <v>1975</v>
      </c>
      <c r="G154" s="10">
        <v>305</v>
      </c>
      <c r="H154" s="9">
        <f t="shared" si="10"/>
        <v>1975</v>
      </c>
      <c r="I154" s="10">
        <f t="shared" si="11"/>
        <v>305</v>
      </c>
      <c r="J154" s="9">
        <v>3420</v>
      </c>
      <c r="K154" s="10">
        <v>375</v>
      </c>
      <c r="L154" s="9">
        <v>8055</v>
      </c>
      <c r="M154" s="10">
        <v>765</v>
      </c>
      <c r="N154" s="20">
        <v>150</v>
      </c>
    </row>
    <row r="155" spans="1:14" x14ac:dyDescent="0.3">
      <c r="A155" s="24">
        <f t="shared" si="9"/>
        <v>153</v>
      </c>
      <c r="B155" s="24" t="s">
        <v>150</v>
      </c>
      <c r="C155" s="26" t="s">
        <v>163</v>
      </c>
      <c r="D155" s="9">
        <v>2380</v>
      </c>
      <c r="E155" s="10">
        <v>255</v>
      </c>
      <c r="F155" s="9">
        <v>2635</v>
      </c>
      <c r="G155" s="10">
        <v>345</v>
      </c>
      <c r="H155" s="9">
        <f t="shared" si="10"/>
        <v>2635</v>
      </c>
      <c r="I155" s="10">
        <f t="shared" si="11"/>
        <v>345</v>
      </c>
      <c r="J155" s="9">
        <v>4585</v>
      </c>
      <c r="K155" s="10">
        <v>430</v>
      </c>
      <c r="L155" s="9">
        <v>9460</v>
      </c>
      <c r="M155" s="10">
        <v>860</v>
      </c>
      <c r="N155" s="20">
        <v>150</v>
      </c>
    </row>
    <row r="156" spans="1:14" x14ac:dyDescent="0.3">
      <c r="A156" s="24">
        <f t="shared" si="9"/>
        <v>154</v>
      </c>
      <c r="B156" s="24" t="s">
        <v>150</v>
      </c>
      <c r="C156" s="26" t="s">
        <v>164</v>
      </c>
      <c r="D156" s="9">
        <v>2515</v>
      </c>
      <c r="E156" s="10">
        <v>345</v>
      </c>
      <c r="F156" s="9">
        <v>2795</v>
      </c>
      <c r="G156" s="10">
        <v>430</v>
      </c>
      <c r="H156" s="9">
        <f t="shared" si="10"/>
        <v>2795</v>
      </c>
      <c r="I156" s="10">
        <f t="shared" si="11"/>
        <v>430</v>
      </c>
      <c r="J156" s="9">
        <v>4925</v>
      </c>
      <c r="K156" s="10">
        <v>515</v>
      </c>
      <c r="L156" s="9">
        <v>11460</v>
      </c>
      <c r="M156" s="10">
        <v>1025</v>
      </c>
      <c r="N156" s="20">
        <v>150</v>
      </c>
    </row>
    <row r="157" spans="1:14" x14ac:dyDescent="0.3">
      <c r="A157" s="24">
        <f t="shared" si="9"/>
        <v>155</v>
      </c>
      <c r="B157" s="24" t="s">
        <v>150</v>
      </c>
      <c r="C157" s="26" t="s">
        <v>165</v>
      </c>
      <c r="D157" s="9">
        <v>3990</v>
      </c>
      <c r="E157" s="10">
        <v>515</v>
      </c>
      <c r="F157" s="9">
        <v>4445</v>
      </c>
      <c r="G157" s="10">
        <v>600</v>
      </c>
      <c r="H157" s="9">
        <f t="shared" si="10"/>
        <v>4445</v>
      </c>
      <c r="I157" s="10">
        <f t="shared" si="11"/>
        <v>600</v>
      </c>
      <c r="J157" s="9">
        <v>6860</v>
      </c>
      <c r="K157" s="10">
        <v>685</v>
      </c>
      <c r="L157" s="9">
        <v>14295</v>
      </c>
      <c r="M157" s="10">
        <v>1370</v>
      </c>
      <c r="N157" s="20">
        <v>150</v>
      </c>
    </row>
    <row r="158" spans="1:14" x14ac:dyDescent="0.3">
      <c r="A158" s="24">
        <f t="shared" si="9"/>
        <v>156</v>
      </c>
      <c r="B158" s="24" t="s">
        <v>150</v>
      </c>
      <c r="C158" s="26" t="s">
        <v>166</v>
      </c>
      <c r="D158" s="9">
        <v>4770</v>
      </c>
      <c r="E158" s="10">
        <v>515</v>
      </c>
      <c r="F158" s="9">
        <v>5305</v>
      </c>
      <c r="G158" s="10">
        <v>600</v>
      </c>
      <c r="H158" s="9">
        <f t="shared" si="10"/>
        <v>5305</v>
      </c>
      <c r="I158" s="10">
        <f t="shared" si="11"/>
        <v>600</v>
      </c>
      <c r="J158" s="9">
        <v>7715</v>
      </c>
      <c r="K158" s="10">
        <v>685</v>
      </c>
      <c r="L158" s="9">
        <v>16300</v>
      </c>
      <c r="M158" s="10">
        <v>1025</v>
      </c>
      <c r="N158" s="20">
        <v>150</v>
      </c>
    </row>
    <row r="159" spans="1:14" x14ac:dyDescent="0.3">
      <c r="A159" s="24">
        <f t="shared" si="9"/>
        <v>157</v>
      </c>
      <c r="B159" s="24" t="s">
        <v>150</v>
      </c>
      <c r="C159" s="26" t="s">
        <v>167</v>
      </c>
      <c r="D159" s="9">
        <v>5130</v>
      </c>
      <c r="E159" s="10">
        <v>685</v>
      </c>
      <c r="F159" s="9">
        <v>5715</v>
      </c>
      <c r="G159" s="10">
        <v>765</v>
      </c>
      <c r="H159" s="9">
        <f t="shared" si="10"/>
        <v>5715</v>
      </c>
      <c r="I159" s="10">
        <f t="shared" si="11"/>
        <v>765</v>
      </c>
      <c r="J159" s="9">
        <v>6150</v>
      </c>
      <c r="K159" s="10">
        <v>860</v>
      </c>
      <c r="L159" s="9">
        <v>16460</v>
      </c>
      <c r="M159" s="10">
        <v>1370</v>
      </c>
      <c r="N159" s="20">
        <v>150</v>
      </c>
    </row>
    <row r="160" spans="1:14" x14ac:dyDescent="0.3">
      <c r="A160" s="24">
        <f t="shared" si="9"/>
        <v>158</v>
      </c>
      <c r="B160" s="24" t="s">
        <v>150</v>
      </c>
      <c r="C160" s="26" t="s">
        <v>168</v>
      </c>
      <c r="D160" s="9">
        <v>5390</v>
      </c>
      <c r="E160" s="10">
        <v>765</v>
      </c>
      <c r="F160" s="9">
        <v>5985</v>
      </c>
      <c r="G160" s="10">
        <v>860</v>
      </c>
      <c r="H160" s="9">
        <f t="shared" si="10"/>
        <v>5985</v>
      </c>
      <c r="I160" s="10">
        <f t="shared" si="11"/>
        <v>860</v>
      </c>
      <c r="J160" s="9">
        <v>4145</v>
      </c>
      <c r="K160" s="10">
        <v>845</v>
      </c>
      <c r="L160" s="9">
        <v>17620</v>
      </c>
      <c r="M160" s="10">
        <v>1540</v>
      </c>
      <c r="N160" s="20">
        <v>150</v>
      </c>
    </row>
    <row r="161" spans="1:14" x14ac:dyDescent="0.3">
      <c r="A161" s="24">
        <f t="shared" si="9"/>
        <v>159</v>
      </c>
      <c r="B161" s="24" t="s">
        <v>150</v>
      </c>
      <c r="C161" s="26" t="s">
        <v>169</v>
      </c>
      <c r="D161" s="9">
        <v>10245</v>
      </c>
      <c r="E161" s="10">
        <v>1025</v>
      </c>
      <c r="F161" s="9">
        <v>11375</v>
      </c>
      <c r="G161" s="10">
        <v>1195</v>
      </c>
      <c r="H161" s="9">
        <f t="shared" si="10"/>
        <v>11375</v>
      </c>
      <c r="I161" s="10">
        <f t="shared" si="11"/>
        <v>1195</v>
      </c>
      <c r="J161" s="9">
        <v>16010</v>
      </c>
      <c r="K161" s="10">
        <v>1370</v>
      </c>
      <c r="L161" s="9">
        <v>25195</v>
      </c>
      <c r="M161" s="10">
        <v>2140</v>
      </c>
      <c r="N161" s="20">
        <v>150</v>
      </c>
    </row>
    <row r="162" spans="1:14" x14ac:dyDescent="0.3">
      <c r="A162" s="24">
        <f t="shared" si="9"/>
        <v>160</v>
      </c>
      <c r="B162" s="24" t="s">
        <v>150</v>
      </c>
      <c r="C162" s="26" t="s">
        <v>170</v>
      </c>
      <c r="D162" s="9">
        <v>3405</v>
      </c>
      <c r="E162" s="10">
        <v>345</v>
      </c>
      <c r="F162" s="9">
        <v>3765</v>
      </c>
      <c r="G162" s="10">
        <v>430</v>
      </c>
      <c r="H162" s="9">
        <f t="shared" si="10"/>
        <v>3765</v>
      </c>
      <c r="I162" s="10">
        <f t="shared" si="11"/>
        <v>430</v>
      </c>
      <c r="J162" s="9">
        <v>7145</v>
      </c>
      <c r="K162" s="10">
        <v>545</v>
      </c>
      <c r="L162" s="9">
        <v>7715</v>
      </c>
      <c r="M162" s="10">
        <v>1110</v>
      </c>
      <c r="N162" s="20">
        <v>150</v>
      </c>
    </row>
    <row r="163" spans="1:14" x14ac:dyDescent="0.3">
      <c r="A163" s="24">
        <f t="shared" si="9"/>
        <v>161</v>
      </c>
      <c r="B163" s="24" t="s">
        <v>150</v>
      </c>
      <c r="C163" s="26" t="s">
        <v>171</v>
      </c>
      <c r="D163" s="9">
        <v>3330</v>
      </c>
      <c r="E163" s="10">
        <v>345</v>
      </c>
      <c r="F163" s="9">
        <v>3690</v>
      </c>
      <c r="G163" s="10">
        <v>430</v>
      </c>
      <c r="H163" s="9">
        <f t="shared" si="10"/>
        <v>3690</v>
      </c>
      <c r="I163" s="10">
        <f t="shared" si="11"/>
        <v>430</v>
      </c>
      <c r="J163" s="9">
        <v>6285</v>
      </c>
      <c r="K163" s="10">
        <v>545</v>
      </c>
      <c r="L163" s="9">
        <v>7715</v>
      </c>
      <c r="M163" s="10">
        <v>1110</v>
      </c>
      <c r="N163" s="20">
        <v>150</v>
      </c>
    </row>
    <row r="164" spans="1:14" x14ac:dyDescent="0.3">
      <c r="A164" s="24">
        <f t="shared" si="9"/>
        <v>162</v>
      </c>
      <c r="B164" s="24" t="s">
        <v>150</v>
      </c>
      <c r="C164" s="26" t="s">
        <v>172</v>
      </c>
      <c r="D164" s="9">
        <v>3580</v>
      </c>
      <c r="E164" s="10">
        <v>375</v>
      </c>
      <c r="F164" s="9">
        <v>3990</v>
      </c>
      <c r="G164" s="10">
        <v>480</v>
      </c>
      <c r="H164" s="9">
        <f t="shared" si="10"/>
        <v>3990</v>
      </c>
      <c r="I164" s="10">
        <f t="shared" si="11"/>
        <v>480</v>
      </c>
      <c r="J164" s="9">
        <v>6860</v>
      </c>
      <c r="K164" s="10">
        <v>600</v>
      </c>
      <c r="L164" s="9">
        <v>13000</v>
      </c>
      <c r="M164" s="10">
        <v>1195</v>
      </c>
      <c r="N164" s="20">
        <v>150</v>
      </c>
    </row>
    <row r="165" spans="1:14" x14ac:dyDescent="0.3">
      <c r="A165" s="24">
        <f t="shared" si="9"/>
        <v>163</v>
      </c>
      <c r="B165" s="24" t="s">
        <v>150</v>
      </c>
      <c r="C165" s="26" t="s">
        <v>61</v>
      </c>
      <c r="D165" s="9">
        <v>3855</v>
      </c>
      <c r="E165" s="10">
        <v>480</v>
      </c>
      <c r="F165" s="9">
        <v>4285</v>
      </c>
      <c r="G165" s="10">
        <v>480</v>
      </c>
      <c r="H165" s="9">
        <f t="shared" si="10"/>
        <v>4285</v>
      </c>
      <c r="I165" s="10">
        <f t="shared" si="11"/>
        <v>480</v>
      </c>
      <c r="J165" s="9">
        <v>7150</v>
      </c>
      <c r="K165" s="10">
        <v>600</v>
      </c>
      <c r="L165" s="9">
        <v>14140</v>
      </c>
      <c r="M165" s="10">
        <v>1195</v>
      </c>
      <c r="N165" s="20">
        <v>150</v>
      </c>
    </row>
    <row r="166" spans="1:14" ht="15" thickBot="1" x14ac:dyDescent="0.35">
      <c r="A166" s="25">
        <f t="shared" si="9"/>
        <v>164</v>
      </c>
      <c r="B166" s="25" t="s">
        <v>150</v>
      </c>
      <c r="C166" s="27" t="s">
        <v>28</v>
      </c>
      <c r="D166" s="13">
        <v>1335</v>
      </c>
      <c r="E166" s="14">
        <v>295</v>
      </c>
      <c r="F166" s="13">
        <v>1480</v>
      </c>
      <c r="G166" s="14">
        <v>330</v>
      </c>
      <c r="H166" s="13">
        <f t="shared" si="10"/>
        <v>1480</v>
      </c>
      <c r="I166" s="14">
        <f t="shared" si="11"/>
        <v>330</v>
      </c>
      <c r="J166" s="13">
        <v>2735</v>
      </c>
      <c r="K166" s="14">
        <v>415</v>
      </c>
      <c r="L166" s="13">
        <v>3970</v>
      </c>
      <c r="M166" s="14">
        <v>645</v>
      </c>
      <c r="N166" s="25">
        <v>150</v>
      </c>
    </row>
    <row r="167" spans="1:14" x14ac:dyDescent="0.3">
      <c r="A167" s="24">
        <f t="shared" si="9"/>
        <v>165</v>
      </c>
      <c r="B167" s="1" t="s">
        <v>347</v>
      </c>
      <c r="C167" s="1" t="s">
        <v>348</v>
      </c>
      <c r="D167" s="23">
        <v>0</v>
      </c>
      <c r="E167" s="23">
        <v>250</v>
      </c>
      <c r="F167" s="23">
        <v>500</v>
      </c>
      <c r="G167" s="23">
        <v>150</v>
      </c>
      <c r="H167" s="23">
        <f t="shared" ref="H167" si="12">F167</f>
        <v>500</v>
      </c>
      <c r="I167" s="23">
        <f t="shared" ref="I167" si="13">G167</f>
        <v>150</v>
      </c>
      <c r="J167" s="23">
        <v>875</v>
      </c>
      <c r="K167" s="23">
        <v>250</v>
      </c>
      <c r="L167" s="23">
        <v>1750</v>
      </c>
      <c r="M167" s="23">
        <v>0</v>
      </c>
      <c r="N167" s="19">
        <v>250</v>
      </c>
    </row>
    <row r="168" spans="1:14" x14ac:dyDescent="0.3">
      <c r="A168" s="24">
        <f t="shared" si="9"/>
        <v>166</v>
      </c>
      <c r="B168" s="1" t="s">
        <v>347</v>
      </c>
      <c r="C168" s="1" t="s">
        <v>349</v>
      </c>
      <c r="D168" s="23">
        <v>0</v>
      </c>
      <c r="E168" s="23">
        <v>0</v>
      </c>
      <c r="F168" s="23">
        <v>550</v>
      </c>
      <c r="G168" s="23">
        <v>0</v>
      </c>
      <c r="H168" s="23">
        <f t="shared" ref="H168:H208" si="14">F168</f>
        <v>550</v>
      </c>
      <c r="I168" s="23">
        <f t="shared" ref="I168:I208" si="15">G168</f>
        <v>0</v>
      </c>
      <c r="J168" s="23">
        <v>975</v>
      </c>
      <c r="K168" s="23">
        <v>0</v>
      </c>
      <c r="L168" s="23">
        <v>2000</v>
      </c>
      <c r="M168" s="23">
        <v>0</v>
      </c>
      <c r="N168" s="19">
        <v>150</v>
      </c>
    </row>
    <row r="169" spans="1:14" x14ac:dyDescent="0.3">
      <c r="A169" s="24">
        <f t="shared" si="9"/>
        <v>167</v>
      </c>
      <c r="B169" s="1" t="s">
        <v>347</v>
      </c>
      <c r="C169" s="1" t="s">
        <v>350</v>
      </c>
      <c r="D169" s="23">
        <v>0</v>
      </c>
      <c r="E169" s="23">
        <v>0</v>
      </c>
      <c r="F169" s="23">
        <v>650</v>
      </c>
      <c r="G169" s="23">
        <v>0</v>
      </c>
      <c r="H169" s="23">
        <f t="shared" si="14"/>
        <v>650</v>
      </c>
      <c r="I169" s="23">
        <f t="shared" si="15"/>
        <v>0</v>
      </c>
      <c r="J169" s="23">
        <v>1200</v>
      </c>
      <c r="K169" s="23">
        <v>0</v>
      </c>
      <c r="L169" s="23">
        <v>2250</v>
      </c>
      <c r="M169" s="23">
        <v>0</v>
      </c>
      <c r="N169" s="19">
        <v>150</v>
      </c>
    </row>
    <row r="170" spans="1:14" x14ac:dyDescent="0.3">
      <c r="A170" s="24">
        <f t="shared" si="9"/>
        <v>168</v>
      </c>
      <c r="B170" s="1" t="s">
        <v>347</v>
      </c>
      <c r="C170" s="1" t="s">
        <v>351</v>
      </c>
      <c r="D170" s="23">
        <v>0</v>
      </c>
      <c r="E170" s="23">
        <v>0</v>
      </c>
      <c r="F170" s="23">
        <v>800</v>
      </c>
      <c r="G170" s="23">
        <v>0</v>
      </c>
      <c r="H170" s="23">
        <f t="shared" si="14"/>
        <v>800</v>
      </c>
      <c r="I170" s="23">
        <f t="shared" si="15"/>
        <v>0</v>
      </c>
      <c r="J170" s="23">
        <v>1400</v>
      </c>
      <c r="K170" s="23">
        <v>0</v>
      </c>
      <c r="L170" s="23">
        <v>3000</v>
      </c>
      <c r="M170" s="23">
        <v>0</v>
      </c>
      <c r="N170" s="19">
        <v>150</v>
      </c>
    </row>
    <row r="171" spans="1:14" x14ac:dyDescent="0.3">
      <c r="A171" s="24">
        <f t="shared" si="9"/>
        <v>169</v>
      </c>
      <c r="B171" s="1" t="s">
        <v>347</v>
      </c>
      <c r="C171" s="1" t="s">
        <v>352</v>
      </c>
      <c r="D171" s="23">
        <v>0</v>
      </c>
      <c r="E171" s="23">
        <v>0</v>
      </c>
      <c r="F171" s="23">
        <v>800</v>
      </c>
      <c r="G171" s="23">
        <v>0</v>
      </c>
      <c r="H171" s="23">
        <f t="shared" si="14"/>
        <v>800</v>
      </c>
      <c r="I171" s="23">
        <f t="shared" si="15"/>
        <v>0</v>
      </c>
      <c r="J171" s="23">
        <v>1500</v>
      </c>
      <c r="K171" s="23">
        <v>250</v>
      </c>
      <c r="L171" s="23">
        <v>3250</v>
      </c>
      <c r="M171" s="23">
        <v>0</v>
      </c>
      <c r="N171" s="19">
        <v>150</v>
      </c>
    </row>
    <row r="172" spans="1:14" x14ac:dyDescent="0.3">
      <c r="A172" s="24">
        <f t="shared" si="9"/>
        <v>170</v>
      </c>
      <c r="B172" s="1" t="s">
        <v>347</v>
      </c>
      <c r="C172" s="1" t="s">
        <v>353</v>
      </c>
      <c r="D172" s="23">
        <v>0</v>
      </c>
      <c r="E172" s="23">
        <v>0</v>
      </c>
      <c r="F172" s="23">
        <v>900</v>
      </c>
      <c r="G172" s="23">
        <v>0</v>
      </c>
      <c r="H172" s="23">
        <f t="shared" si="14"/>
        <v>900</v>
      </c>
      <c r="I172" s="23">
        <f t="shared" si="15"/>
        <v>0</v>
      </c>
      <c r="J172" s="23">
        <v>1800</v>
      </c>
      <c r="K172" s="23">
        <v>0</v>
      </c>
      <c r="L172" s="23">
        <v>3500</v>
      </c>
      <c r="M172" s="23">
        <v>0</v>
      </c>
      <c r="N172" s="19">
        <v>150</v>
      </c>
    </row>
    <row r="173" spans="1:14" x14ac:dyDescent="0.3">
      <c r="A173" s="24">
        <f t="shared" si="9"/>
        <v>171</v>
      </c>
      <c r="B173" s="1" t="s">
        <v>347</v>
      </c>
      <c r="C173" s="1" t="s">
        <v>354</v>
      </c>
      <c r="D173" s="23">
        <v>0</v>
      </c>
      <c r="E173" s="23">
        <v>0</v>
      </c>
      <c r="F173" s="23">
        <v>900</v>
      </c>
      <c r="G173" s="23">
        <v>0</v>
      </c>
      <c r="H173" s="23">
        <f t="shared" si="14"/>
        <v>900</v>
      </c>
      <c r="I173" s="23">
        <f t="shared" si="15"/>
        <v>0</v>
      </c>
      <c r="J173" s="23">
        <v>1700</v>
      </c>
      <c r="K173" s="23">
        <v>0</v>
      </c>
      <c r="L173" s="23">
        <v>3500</v>
      </c>
      <c r="M173" s="23">
        <v>0</v>
      </c>
      <c r="N173" s="19">
        <v>150</v>
      </c>
    </row>
    <row r="174" spans="1:14" x14ac:dyDescent="0.3">
      <c r="A174" s="24">
        <f t="shared" si="9"/>
        <v>172</v>
      </c>
      <c r="B174" s="1" t="s">
        <v>347</v>
      </c>
      <c r="C174" s="1" t="s">
        <v>134</v>
      </c>
      <c r="D174" s="23">
        <v>0</v>
      </c>
      <c r="E174" s="23">
        <v>0</v>
      </c>
      <c r="F174" s="23">
        <v>800</v>
      </c>
      <c r="G174" s="23">
        <v>0</v>
      </c>
      <c r="H174" s="23">
        <f t="shared" si="14"/>
        <v>800</v>
      </c>
      <c r="I174" s="23">
        <f t="shared" si="15"/>
        <v>0</v>
      </c>
      <c r="J174" s="23">
        <v>1500</v>
      </c>
      <c r="K174" s="23">
        <v>0</v>
      </c>
      <c r="L174" s="23">
        <v>3300</v>
      </c>
      <c r="M174" s="23">
        <v>0</v>
      </c>
      <c r="N174" s="19">
        <v>150</v>
      </c>
    </row>
    <row r="175" spans="1:14" x14ac:dyDescent="0.3">
      <c r="A175" s="24">
        <f t="shared" si="9"/>
        <v>173</v>
      </c>
      <c r="B175" s="1" t="s">
        <v>347</v>
      </c>
      <c r="C175" s="1" t="s">
        <v>355</v>
      </c>
      <c r="D175" s="23">
        <v>0</v>
      </c>
      <c r="E175" s="23">
        <v>0</v>
      </c>
      <c r="F175" s="23">
        <v>250</v>
      </c>
      <c r="G175" s="23">
        <v>0</v>
      </c>
      <c r="H175" s="23">
        <f t="shared" si="14"/>
        <v>250</v>
      </c>
      <c r="I175" s="23">
        <f t="shared" si="15"/>
        <v>0</v>
      </c>
      <c r="J175" s="23">
        <v>450</v>
      </c>
      <c r="K175" s="23">
        <v>0</v>
      </c>
      <c r="L175" s="23">
        <v>875</v>
      </c>
      <c r="M175" s="23">
        <v>0</v>
      </c>
      <c r="N175" s="19">
        <v>150</v>
      </c>
    </row>
    <row r="176" spans="1:14" x14ac:dyDescent="0.3">
      <c r="A176" s="24">
        <f t="shared" si="9"/>
        <v>174</v>
      </c>
      <c r="B176" s="1" t="s">
        <v>347</v>
      </c>
      <c r="C176" s="1" t="s">
        <v>356</v>
      </c>
      <c r="D176" s="23">
        <v>0</v>
      </c>
      <c r="E176" s="23">
        <v>0</v>
      </c>
      <c r="F176" s="23">
        <v>1300</v>
      </c>
      <c r="G176" s="23">
        <v>0</v>
      </c>
      <c r="H176" s="23">
        <f t="shared" si="14"/>
        <v>1300</v>
      </c>
      <c r="I176" s="23">
        <f t="shared" si="15"/>
        <v>0</v>
      </c>
      <c r="J176" s="23">
        <v>2375</v>
      </c>
      <c r="K176" s="23">
        <v>0</v>
      </c>
      <c r="L176" s="23">
        <v>5000</v>
      </c>
      <c r="M176" s="23">
        <v>0</v>
      </c>
      <c r="N176" s="19">
        <v>150</v>
      </c>
    </row>
    <row r="177" spans="1:14" x14ac:dyDescent="0.3">
      <c r="A177" s="24">
        <f t="shared" si="9"/>
        <v>175</v>
      </c>
      <c r="B177" s="1" t="s">
        <v>347</v>
      </c>
      <c r="C177" s="1" t="s">
        <v>357</v>
      </c>
      <c r="D177" s="23">
        <v>0</v>
      </c>
      <c r="E177" s="23">
        <v>0</v>
      </c>
      <c r="F177" s="23">
        <v>1750</v>
      </c>
      <c r="G177" s="23">
        <v>0</v>
      </c>
      <c r="H177" s="23">
        <f t="shared" si="14"/>
        <v>1750</v>
      </c>
      <c r="I177" s="23">
        <f t="shared" si="15"/>
        <v>0</v>
      </c>
      <c r="J177" s="23">
        <v>3200</v>
      </c>
      <c r="K177" s="23">
        <v>0</v>
      </c>
      <c r="L177" s="23">
        <v>5000</v>
      </c>
      <c r="M177" s="23">
        <v>0</v>
      </c>
      <c r="N177" s="19">
        <v>150</v>
      </c>
    </row>
    <row r="178" spans="1:14" x14ac:dyDescent="0.3">
      <c r="A178" s="24">
        <f t="shared" si="9"/>
        <v>176</v>
      </c>
      <c r="B178" s="1" t="s">
        <v>347</v>
      </c>
      <c r="C178" s="1" t="s">
        <v>358</v>
      </c>
      <c r="D178" s="23">
        <v>0</v>
      </c>
      <c r="E178" s="23">
        <v>0</v>
      </c>
      <c r="F178" s="23">
        <v>1750</v>
      </c>
      <c r="G178" s="23">
        <v>0</v>
      </c>
      <c r="H178" s="23">
        <f t="shared" si="14"/>
        <v>1750</v>
      </c>
      <c r="I178" s="23">
        <f t="shared" si="15"/>
        <v>0</v>
      </c>
      <c r="J178" s="23">
        <v>3200</v>
      </c>
      <c r="K178" s="23">
        <v>0</v>
      </c>
      <c r="L178" s="23">
        <v>5000</v>
      </c>
      <c r="M178" s="23">
        <v>0</v>
      </c>
      <c r="N178" s="19">
        <v>150</v>
      </c>
    </row>
    <row r="179" spans="1:14" x14ac:dyDescent="0.3">
      <c r="A179" s="24">
        <f t="shared" si="9"/>
        <v>177</v>
      </c>
      <c r="B179" s="1" t="s">
        <v>347</v>
      </c>
      <c r="C179" s="1" t="s">
        <v>359</v>
      </c>
      <c r="D179" s="23">
        <v>0</v>
      </c>
      <c r="E179" s="23">
        <v>0</v>
      </c>
      <c r="F179" s="23">
        <v>1750</v>
      </c>
      <c r="G179" s="23">
        <v>0</v>
      </c>
      <c r="H179" s="23">
        <f t="shared" si="14"/>
        <v>1750</v>
      </c>
      <c r="I179" s="23">
        <f t="shared" si="15"/>
        <v>0</v>
      </c>
      <c r="J179" s="23">
        <v>3200</v>
      </c>
      <c r="K179" s="23">
        <v>0</v>
      </c>
      <c r="L179" s="23">
        <v>5000</v>
      </c>
      <c r="M179" s="23">
        <v>0</v>
      </c>
      <c r="N179" s="19">
        <v>150</v>
      </c>
    </row>
    <row r="180" spans="1:14" x14ac:dyDescent="0.3">
      <c r="A180" s="24">
        <f t="shared" si="9"/>
        <v>178</v>
      </c>
      <c r="B180" s="1" t="s">
        <v>347</v>
      </c>
      <c r="C180" s="1" t="s">
        <v>360</v>
      </c>
      <c r="D180" s="23">
        <v>0</v>
      </c>
      <c r="E180" s="23">
        <v>0</v>
      </c>
      <c r="F180" s="23">
        <v>1750</v>
      </c>
      <c r="G180" s="23">
        <v>0</v>
      </c>
      <c r="H180" s="23">
        <f t="shared" si="14"/>
        <v>1750</v>
      </c>
      <c r="I180" s="23">
        <f t="shared" si="15"/>
        <v>0</v>
      </c>
      <c r="J180" s="23">
        <v>3200</v>
      </c>
      <c r="K180" s="23">
        <v>0</v>
      </c>
      <c r="L180" s="23">
        <v>5000</v>
      </c>
      <c r="M180" s="23">
        <v>0</v>
      </c>
      <c r="N180" s="19">
        <v>150</v>
      </c>
    </row>
    <row r="181" spans="1:14" x14ac:dyDescent="0.3">
      <c r="A181" s="24">
        <f t="shared" si="9"/>
        <v>179</v>
      </c>
      <c r="B181" s="1" t="s">
        <v>347</v>
      </c>
      <c r="C181" s="1" t="s">
        <v>361</v>
      </c>
      <c r="D181" s="23">
        <v>0</v>
      </c>
      <c r="E181" s="23">
        <v>0</v>
      </c>
      <c r="F181" s="23">
        <v>1750</v>
      </c>
      <c r="G181" s="23">
        <v>0</v>
      </c>
      <c r="H181" s="23">
        <f t="shared" si="14"/>
        <v>1750</v>
      </c>
      <c r="I181" s="23">
        <f t="shared" si="15"/>
        <v>0</v>
      </c>
      <c r="J181" s="23">
        <v>3200</v>
      </c>
      <c r="K181" s="23">
        <v>0</v>
      </c>
      <c r="L181" s="23">
        <v>5000</v>
      </c>
      <c r="M181" s="23">
        <v>0</v>
      </c>
      <c r="N181" s="19">
        <v>150</v>
      </c>
    </row>
    <row r="182" spans="1:14" x14ac:dyDescent="0.3">
      <c r="A182" s="24">
        <f t="shared" si="9"/>
        <v>180</v>
      </c>
      <c r="B182" s="1" t="s">
        <v>347</v>
      </c>
      <c r="C182" s="1" t="s">
        <v>362</v>
      </c>
      <c r="D182" s="23">
        <v>0</v>
      </c>
      <c r="E182" s="23">
        <v>0</v>
      </c>
      <c r="F182" s="23">
        <v>1750</v>
      </c>
      <c r="G182" s="23">
        <v>0</v>
      </c>
      <c r="H182" s="23">
        <f t="shared" si="14"/>
        <v>1750</v>
      </c>
      <c r="I182" s="23">
        <f t="shared" si="15"/>
        <v>0</v>
      </c>
      <c r="J182" s="23">
        <v>3200</v>
      </c>
      <c r="K182" s="23">
        <v>0</v>
      </c>
      <c r="L182" s="23">
        <v>5000</v>
      </c>
      <c r="M182" s="23">
        <v>0</v>
      </c>
      <c r="N182" s="19">
        <v>150</v>
      </c>
    </row>
    <row r="183" spans="1:14" x14ac:dyDescent="0.3">
      <c r="A183" s="24">
        <f t="shared" si="9"/>
        <v>181</v>
      </c>
      <c r="B183" s="1" t="s">
        <v>347</v>
      </c>
      <c r="C183" s="1" t="s">
        <v>369</v>
      </c>
      <c r="D183" s="23">
        <v>0</v>
      </c>
      <c r="E183" s="23">
        <v>0</v>
      </c>
      <c r="F183" s="23">
        <v>1500</v>
      </c>
      <c r="G183" s="23">
        <v>0</v>
      </c>
      <c r="H183" s="23">
        <f t="shared" si="14"/>
        <v>1500</v>
      </c>
      <c r="I183" s="23">
        <f t="shared" si="15"/>
        <v>0</v>
      </c>
      <c r="J183" s="23">
        <v>2500</v>
      </c>
      <c r="K183" s="23">
        <v>0</v>
      </c>
      <c r="L183" s="23">
        <v>4500</v>
      </c>
      <c r="M183" s="23">
        <v>0</v>
      </c>
      <c r="N183" s="19">
        <v>150</v>
      </c>
    </row>
    <row r="184" spans="1:14" x14ac:dyDescent="0.3">
      <c r="A184" s="24">
        <f t="shared" si="9"/>
        <v>182</v>
      </c>
      <c r="B184" s="1" t="s">
        <v>347</v>
      </c>
      <c r="C184" s="1" t="s">
        <v>370</v>
      </c>
      <c r="D184" s="23">
        <v>0</v>
      </c>
      <c r="E184" s="23">
        <v>0</v>
      </c>
      <c r="F184" s="23">
        <v>1500</v>
      </c>
      <c r="G184" s="23">
        <v>0</v>
      </c>
      <c r="H184" s="23">
        <f t="shared" si="14"/>
        <v>1500</v>
      </c>
      <c r="I184" s="23">
        <f t="shared" si="15"/>
        <v>0</v>
      </c>
      <c r="J184" s="23">
        <v>2500</v>
      </c>
      <c r="K184" s="23">
        <v>0</v>
      </c>
      <c r="L184" s="23">
        <v>4500</v>
      </c>
      <c r="M184" s="23">
        <v>0</v>
      </c>
      <c r="N184" s="19">
        <v>150</v>
      </c>
    </row>
    <row r="185" spans="1:14" x14ac:dyDescent="0.3">
      <c r="A185" s="24">
        <f t="shared" si="9"/>
        <v>183</v>
      </c>
      <c r="B185" s="1" t="s">
        <v>347</v>
      </c>
      <c r="C185" s="1" t="s">
        <v>371</v>
      </c>
      <c r="D185" s="23">
        <v>0</v>
      </c>
      <c r="E185" s="23">
        <v>0</v>
      </c>
      <c r="F185" s="23">
        <v>1500</v>
      </c>
      <c r="G185" s="23">
        <v>0</v>
      </c>
      <c r="H185" s="23">
        <f t="shared" si="14"/>
        <v>1500</v>
      </c>
      <c r="I185" s="23">
        <f t="shared" si="15"/>
        <v>0</v>
      </c>
      <c r="J185" s="23">
        <v>2500</v>
      </c>
      <c r="K185" s="23">
        <v>0</v>
      </c>
      <c r="L185" s="23">
        <v>4500</v>
      </c>
      <c r="M185" s="23">
        <v>0</v>
      </c>
      <c r="N185" s="19">
        <v>150</v>
      </c>
    </row>
    <row r="186" spans="1:14" x14ac:dyDescent="0.3">
      <c r="A186" s="24">
        <f t="shared" si="9"/>
        <v>184</v>
      </c>
      <c r="B186" s="1" t="s">
        <v>347</v>
      </c>
      <c r="C186" s="1" t="s">
        <v>372</v>
      </c>
      <c r="D186" s="23">
        <v>0</v>
      </c>
      <c r="E186" s="23">
        <v>0</v>
      </c>
      <c r="F186" s="23">
        <v>1500</v>
      </c>
      <c r="G186" s="23">
        <v>0</v>
      </c>
      <c r="H186" s="23">
        <f t="shared" si="14"/>
        <v>1500</v>
      </c>
      <c r="I186" s="23">
        <f t="shared" si="15"/>
        <v>0</v>
      </c>
      <c r="J186" s="23">
        <v>2500</v>
      </c>
      <c r="K186" s="23">
        <v>0</v>
      </c>
      <c r="L186" s="23">
        <v>4500</v>
      </c>
      <c r="M186" s="23">
        <v>0</v>
      </c>
      <c r="N186" s="19">
        <v>150</v>
      </c>
    </row>
    <row r="187" spans="1:14" x14ac:dyDescent="0.3">
      <c r="A187" s="24">
        <f t="shared" si="9"/>
        <v>185</v>
      </c>
      <c r="B187" s="1" t="s">
        <v>347</v>
      </c>
      <c r="C187" s="1" t="s">
        <v>373</v>
      </c>
      <c r="D187" s="23">
        <v>0</v>
      </c>
      <c r="E187" s="23">
        <v>0</v>
      </c>
      <c r="F187" s="23">
        <v>1500</v>
      </c>
      <c r="G187" s="23">
        <v>0</v>
      </c>
      <c r="H187" s="23">
        <f t="shared" si="14"/>
        <v>1500</v>
      </c>
      <c r="I187" s="23">
        <f t="shared" si="15"/>
        <v>0</v>
      </c>
      <c r="J187" s="23">
        <v>2500</v>
      </c>
      <c r="K187" s="23">
        <v>0</v>
      </c>
      <c r="L187" s="23">
        <v>4500</v>
      </c>
      <c r="M187" s="23">
        <v>0</v>
      </c>
      <c r="N187" s="19">
        <v>150</v>
      </c>
    </row>
    <row r="188" spans="1:14" x14ac:dyDescent="0.3">
      <c r="A188" s="24">
        <f t="shared" si="9"/>
        <v>186</v>
      </c>
      <c r="B188" s="1" t="s">
        <v>347</v>
      </c>
      <c r="C188" s="1" t="s">
        <v>374</v>
      </c>
      <c r="D188" s="23">
        <v>0</v>
      </c>
      <c r="E188" s="23">
        <v>0</v>
      </c>
      <c r="F188" s="23">
        <v>1800</v>
      </c>
      <c r="G188" s="23">
        <v>0</v>
      </c>
      <c r="H188" s="23">
        <f t="shared" si="14"/>
        <v>1800</v>
      </c>
      <c r="I188" s="23">
        <f t="shared" si="15"/>
        <v>0</v>
      </c>
      <c r="J188" s="23">
        <v>3200</v>
      </c>
      <c r="K188" s="23">
        <v>0</v>
      </c>
      <c r="L188" s="23">
        <v>5000</v>
      </c>
      <c r="M188" s="23">
        <v>0</v>
      </c>
      <c r="N188" s="19">
        <v>150</v>
      </c>
    </row>
    <row r="189" spans="1:14" x14ac:dyDescent="0.3">
      <c r="A189" s="24">
        <f t="shared" si="9"/>
        <v>187</v>
      </c>
      <c r="B189" s="1" t="s">
        <v>347</v>
      </c>
      <c r="C189" s="1" t="s">
        <v>375</v>
      </c>
      <c r="D189" s="23">
        <v>0</v>
      </c>
      <c r="E189" s="23">
        <v>0</v>
      </c>
      <c r="F189" s="23">
        <v>3500</v>
      </c>
      <c r="G189" s="23">
        <v>0</v>
      </c>
      <c r="H189" s="23">
        <f t="shared" si="14"/>
        <v>3500</v>
      </c>
      <c r="I189" s="23">
        <f t="shared" si="15"/>
        <v>0</v>
      </c>
      <c r="J189" s="23">
        <v>5000</v>
      </c>
      <c r="K189" s="23">
        <v>0</v>
      </c>
      <c r="L189" s="23">
        <v>9000</v>
      </c>
      <c r="M189" s="23">
        <v>0</v>
      </c>
      <c r="N189" s="19">
        <v>150</v>
      </c>
    </row>
    <row r="190" spans="1:14" x14ac:dyDescent="0.3">
      <c r="A190" s="24">
        <f t="shared" si="9"/>
        <v>188</v>
      </c>
      <c r="B190" s="1" t="s">
        <v>347</v>
      </c>
      <c r="C190" s="1" t="s">
        <v>376</v>
      </c>
      <c r="D190" s="23">
        <v>0</v>
      </c>
      <c r="E190" s="23">
        <v>0</v>
      </c>
      <c r="F190" s="23">
        <v>3500</v>
      </c>
      <c r="G190" s="23">
        <v>0</v>
      </c>
      <c r="H190" s="23">
        <f t="shared" si="14"/>
        <v>3500</v>
      </c>
      <c r="I190" s="23">
        <f t="shared" si="15"/>
        <v>0</v>
      </c>
      <c r="J190" s="23">
        <v>5000</v>
      </c>
      <c r="K190" s="23">
        <v>0</v>
      </c>
      <c r="L190" s="23">
        <v>9000</v>
      </c>
      <c r="M190" s="23">
        <v>0</v>
      </c>
      <c r="N190" s="19">
        <v>150</v>
      </c>
    </row>
    <row r="191" spans="1:14" x14ac:dyDescent="0.3">
      <c r="A191" s="24">
        <f t="shared" si="9"/>
        <v>189</v>
      </c>
      <c r="B191" s="1" t="s">
        <v>347</v>
      </c>
      <c r="C191" s="1" t="s">
        <v>377</v>
      </c>
      <c r="D191" s="23">
        <v>0</v>
      </c>
      <c r="E191" s="23">
        <v>0</v>
      </c>
      <c r="F191" s="23">
        <v>4000</v>
      </c>
      <c r="G191" s="23">
        <v>0</v>
      </c>
      <c r="H191" s="23">
        <f t="shared" si="14"/>
        <v>4000</v>
      </c>
      <c r="I191" s="23">
        <f t="shared" si="15"/>
        <v>0</v>
      </c>
      <c r="J191" s="23">
        <v>5500</v>
      </c>
      <c r="K191" s="23">
        <v>0</v>
      </c>
      <c r="L191" s="23">
        <v>10500</v>
      </c>
      <c r="M191" s="23">
        <v>0</v>
      </c>
      <c r="N191" s="19">
        <v>150</v>
      </c>
    </row>
    <row r="192" spans="1:14" x14ac:dyDescent="0.3">
      <c r="A192" s="24">
        <f t="shared" si="9"/>
        <v>190</v>
      </c>
      <c r="B192" s="1" t="s">
        <v>347</v>
      </c>
      <c r="C192" s="1" t="s">
        <v>363</v>
      </c>
      <c r="D192" s="23">
        <v>0</v>
      </c>
      <c r="E192" s="23">
        <v>0</v>
      </c>
      <c r="F192" s="23">
        <v>1900</v>
      </c>
      <c r="G192" s="23">
        <v>0</v>
      </c>
      <c r="H192" s="23">
        <f t="shared" si="14"/>
        <v>1900</v>
      </c>
      <c r="I192" s="23">
        <f t="shared" si="15"/>
        <v>0</v>
      </c>
      <c r="J192" s="23">
        <v>3500</v>
      </c>
      <c r="K192" s="23">
        <v>0</v>
      </c>
      <c r="L192" s="23">
        <v>5500</v>
      </c>
      <c r="M192" s="23">
        <v>0</v>
      </c>
      <c r="N192" s="19">
        <v>150</v>
      </c>
    </row>
    <row r="193" spans="1:14" x14ac:dyDescent="0.3">
      <c r="A193" s="24">
        <f t="shared" si="9"/>
        <v>191</v>
      </c>
      <c r="B193" s="1" t="s">
        <v>347</v>
      </c>
      <c r="C193" s="1" t="s">
        <v>364</v>
      </c>
      <c r="D193" s="23">
        <v>0</v>
      </c>
      <c r="E193" s="23">
        <v>0</v>
      </c>
      <c r="F193" s="23">
        <v>1900</v>
      </c>
      <c r="G193" s="23">
        <v>0</v>
      </c>
      <c r="H193" s="23">
        <f t="shared" si="14"/>
        <v>1900</v>
      </c>
      <c r="I193" s="23">
        <f t="shared" si="15"/>
        <v>0</v>
      </c>
      <c r="J193" s="23">
        <v>3500</v>
      </c>
      <c r="K193" s="23">
        <v>0</v>
      </c>
      <c r="L193" s="23">
        <v>5500</v>
      </c>
      <c r="M193" s="23">
        <v>0</v>
      </c>
      <c r="N193" s="19">
        <v>150</v>
      </c>
    </row>
    <row r="194" spans="1:14" x14ac:dyDescent="0.3">
      <c r="A194" s="24">
        <f t="shared" si="9"/>
        <v>192</v>
      </c>
      <c r="B194" s="1" t="s">
        <v>347</v>
      </c>
      <c r="C194" s="1" t="s">
        <v>365</v>
      </c>
      <c r="D194" s="23">
        <v>0</v>
      </c>
      <c r="E194" s="23">
        <v>0</v>
      </c>
      <c r="F194" s="23">
        <v>1900</v>
      </c>
      <c r="G194" s="23">
        <v>0</v>
      </c>
      <c r="H194" s="23">
        <f t="shared" si="14"/>
        <v>1900</v>
      </c>
      <c r="I194" s="23">
        <f t="shared" si="15"/>
        <v>0</v>
      </c>
      <c r="J194" s="23">
        <v>3500</v>
      </c>
      <c r="K194" s="23">
        <v>0</v>
      </c>
      <c r="L194" s="23">
        <v>5500</v>
      </c>
      <c r="M194" s="23">
        <v>0</v>
      </c>
      <c r="N194" s="19">
        <v>150</v>
      </c>
    </row>
    <row r="195" spans="1:14" x14ac:dyDescent="0.3">
      <c r="A195" s="24">
        <f t="shared" si="9"/>
        <v>193</v>
      </c>
      <c r="B195" s="1" t="s">
        <v>347</v>
      </c>
      <c r="C195" s="1" t="s">
        <v>366</v>
      </c>
      <c r="D195" s="23">
        <v>0</v>
      </c>
      <c r="E195" s="23">
        <v>0</v>
      </c>
      <c r="F195" s="23">
        <v>1900</v>
      </c>
      <c r="G195" s="23">
        <v>0</v>
      </c>
      <c r="H195" s="23">
        <f t="shared" si="14"/>
        <v>1900</v>
      </c>
      <c r="I195" s="23">
        <f t="shared" si="15"/>
        <v>0</v>
      </c>
      <c r="J195" s="23">
        <v>3500</v>
      </c>
      <c r="K195" s="23">
        <v>0</v>
      </c>
      <c r="L195" s="23">
        <v>5500</v>
      </c>
      <c r="M195" s="23">
        <v>0</v>
      </c>
      <c r="N195" s="19">
        <v>150</v>
      </c>
    </row>
    <row r="196" spans="1:14" x14ac:dyDescent="0.3">
      <c r="A196" s="24">
        <f t="shared" si="9"/>
        <v>194</v>
      </c>
      <c r="B196" s="1" t="s">
        <v>347</v>
      </c>
      <c r="C196" s="1" t="s">
        <v>367</v>
      </c>
      <c r="D196" s="23">
        <v>0</v>
      </c>
      <c r="E196" s="23">
        <v>0</v>
      </c>
      <c r="F196" s="23">
        <v>1900</v>
      </c>
      <c r="G196" s="23">
        <v>0</v>
      </c>
      <c r="H196" s="23">
        <f t="shared" si="14"/>
        <v>1900</v>
      </c>
      <c r="I196" s="23">
        <f t="shared" si="15"/>
        <v>0</v>
      </c>
      <c r="J196" s="23">
        <v>3500</v>
      </c>
      <c r="K196" s="23">
        <v>0</v>
      </c>
      <c r="L196" s="23">
        <v>5500</v>
      </c>
      <c r="M196" s="23">
        <v>0</v>
      </c>
      <c r="N196" s="19">
        <v>150</v>
      </c>
    </row>
    <row r="197" spans="1:14" x14ac:dyDescent="0.3">
      <c r="A197" s="24">
        <f t="shared" si="9"/>
        <v>195</v>
      </c>
      <c r="B197" s="1" t="s">
        <v>347</v>
      </c>
      <c r="C197" s="1" t="s">
        <v>368</v>
      </c>
      <c r="D197" s="23">
        <v>0</v>
      </c>
      <c r="E197" s="23">
        <v>0</v>
      </c>
      <c r="F197" s="23">
        <v>1900</v>
      </c>
      <c r="G197" s="23">
        <v>0</v>
      </c>
      <c r="H197" s="23">
        <f t="shared" si="14"/>
        <v>1900</v>
      </c>
      <c r="I197" s="23">
        <f t="shared" si="15"/>
        <v>0</v>
      </c>
      <c r="J197" s="23">
        <v>3500</v>
      </c>
      <c r="K197" s="23">
        <v>0</v>
      </c>
      <c r="L197" s="23">
        <v>5500</v>
      </c>
      <c r="M197" s="23">
        <v>0</v>
      </c>
      <c r="N197" s="19">
        <v>150</v>
      </c>
    </row>
    <row r="198" spans="1:14" x14ac:dyDescent="0.3">
      <c r="A198" s="24">
        <f t="shared" si="9"/>
        <v>196</v>
      </c>
      <c r="B198" s="1" t="s">
        <v>347</v>
      </c>
      <c r="C198" s="1" t="s">
        <v>378</v>
      </c>
      <c r="D198" s="23">
        <v>0</v>
      </c>
      <c r="E198" s="23">
        <v>0</v>
      </c>
      <c r="F198" s="23">
        <v>1750</v>
      </c>
      <c r="G198" s="23">
        <v>0</v>
      </c>
      <c r="H198" s="23">
        <f t="shared" si="14"/>
        <v>1750</v>
      </c>
      <c r="I198" s="23">
        <f t="shared" si="15"/>
        <v>0</v>
      </c>
      <c r="J198" s="23">
        <v>3200</v>
      </c>
      <c r="K198" s="23">
        <v>0</v>
      </c>
      <c r="L198" s="23">
        <v>5000</v>
      </c>
      <c r="M198" s="23">
        <v>0</v>
      </c>
      <c r="N198" s="19">
        <v>150</v>
      </c>
    </row>
    <row r="199" spans="1:14" x14ac:dyDescent="0.3">
      <c r="A199" s="24">
        <f t="shared" si="9"/>
        <v>197</v>
      </c>
      <c r="B199" s="1" t="s">
        <v>347</v>
      </c>
      <c r="C199" s="1" t="s">
        <v>379</v>
      </c>
      <c r="D199" s="23">
        <v>0</v>
      </c>
      <c r="E199" s="23">
        <v>0</v>
      </c>
      <c r="F199" s="23">
        <v>1750</v>
      </c>
      <c r="G199" s="23">
        <v>0</v>
      </c>
      <c r="H199" s="23">
        <f t="shared" si="14"/>
        <v>1750</v>
      </c>
      <c r="I199" s="23">
        <f t="shared" si="15"/>
        <v>0</v>
      </c>
      <c r="J199" s="23">
        <v>3200</v>
      </c>
      <c r="K199" s="23">
        <v>0</v>
      </c>
      <c r="L199" s="23">
        <v>5000</v>
      </c>
      <c r="M199" s="23">
        <v>0</v>
      </c>
      <c r="N199" s="19">
        <v>150</v>
      </c>
    </row>
    <row r="200" spans="1:14" x14ac:dyDescent="0.3">
      <c r="A200" s="24">
        <f t="shared" si="9"/>
        <v>198</v>
      </c>
      <c r="B200" s="1" t="s">
        <v>347</v>
      </c>
      <c r="C200" s="1" t="s">
        <v>380</v>
      </c>
      <c r="D200" s="23">
        <v>0</v>
      </c>
      <c r="E200" s="23">
        <v>0</v>
      </c>
      <c r="F200" s="23">
        <v>1750</v>
      </c>
      <c r="G200" s="23">
        <v>0</v>
      </c>
      <c r="H200" s="23">
        <f t="shared" si="14"/>
        <v>1750</v>
      </c>
      <c r="I200" s="23">
        <f t="shared" si="15"/>
        <v>0</v>
      </c>
      <c r="J200" s="23">
        <v>3200</v>
      </c>
      <c r="K200" s="23">
        <v>0</v>
      </c>
      <c r="L200" s="23">
        <v>5000</v>
      </c>
      <c r="M200" s="23">
        <v>0</v>
      </c>
      <c r="N200" s="19">
        <v>150</v>
      </c>
    </row>
    <row r="201" spans="1:14" x14ac:dyDescent="0.3">
      <c r="A201" s="24">
        <f t="shared" si="9"/>
        <v>199</v>
      </c>
      <c r="B201" s="1" t="s">
        <v>347</v>
      </c>
      <c r="C201" s="1" t="s">
        <v>381</v>
      </c>
      <c r="D201" s="23">
        <v>0</v>
      </c>
      <c r="E201" s="23">
        <v>0</v>
      </c>
      <c r="F201" s="23">
        <v>1750</v>
      </c>
      <c r="G201" s="23">
        <v>0</v>
      </c>
      <c r="H201" s="23">
        <f t="shared" si="14"/>
        <v>1750</v>
      </c>
      <c r="I201" s="23">
        <f t="shared" si="15"/>
        <v>0</v>
      </c>
      <c r="J201" s="23">
        <v>3200</v>
      </c>
      <c r="K201" s="23">
        <v>0</v>
      </c>
      <c r="L201" s="23">
        <v>5000</v>
      </c>
      <c r="M201" s="23">
        <v>0</v>
      </c>
      <c r="N201" s="19">
        <v>150</v>
      </c>
    </row>
    <row r="202" spans="1:14" x14ac:dyDescent="0.3">
      <c r="A202" s="24">
        <f t="shared" si="9"/>
        <v>200</v>
      </c>
      <c r="B202" s="1" t="s">
        <v>347</v>
      </c>
      <c r="C202" s="1" t="s">
        <v>382</v>
      </c>
      <c r="D202" s="23">
        <v>0</v>
      </c>
      <c r="E202" s="23">
        <v>0</v>
      </c>
      <c r="F202" s="23">
        <v>1750</v>
      </c>
      <c r="G202" s="23">
        <v>0</v>
      </c>
      <c r="H202" s="23">
        <f t="shared" si="14"/>
        <v>1750</v>
      </c>
      <c r="I202" s="23">
        <f t="shared" si="15"/>
        <v>0</v>
      </c>
      <c r="J202" s="23">
        <v>3200</v>
      </c>
      <c r="K202" s="23">
        <v>0</v>
      </c>
      <c r="L202" s="23">
        <v>5000</v>
      </c>
      <c r="M202" s="23">
        <v>0</v>
      </c>
      <c r="N202" s="19">
        <v>150</v>
      </c>
    </row>
    <row r="203" spans="1:14" x14ac:dyDescent="0.3">
      <c r="A203" s="24">
        <f t="shared" si="9"/>
        <v>201</v>
      </c>
      <c r="B203" s="1" t="s">
        <v>347</v>
      </c>
      <c r="C203" s="1" t="s">
        <v>383</v>
      </c>
      <c r="D203" s="23">
        <v>0</v>
      </c>
      <c r="E203" s="23">
        <v>0</v>
      </c>
      <c r="F203" s="23">
        <v>4500</v>
      </c>
      <c r="G203" s="23">
        <v>0</v>
      </c>
      <c r="H203" s="23">
        <f t="shared" si="14"/>
        <v>4500</v>
      </c>
      <c r="I203" s="23">
        <f t="shared" si="15"/>
        <v>0</v>
      </c>
      <c r="J203" s="23">
        <v>6000</v>
      </c>
      <c r="K203" s="23">
        <v>0</v>
      </c>
      <c r="L203" s="23">
        <v>11500</v>
      </c>
      <c r="M203" s="23">
        <v>0</v>
      </c>
      <c r="N203" s="19">
        <v>150</v>
      </c>
    </row>
    <row r="204" spans="1:14" x14ac:dyDescent="0.3">
      <c r="A204" s="24">
        <f t="shared" si="9"/>
        <v>202</v>
      </c>
      <c r="B204" s="1" t="s">
        <v>347</v>
      </c>
      <c r="C204" s="1" t="s">
        <v>384</v>
      </c>
      <c r="D204" s="23">
        <v>0</v>
      </c>
      <c r="E204" s="23">
        <v>0</v>
      </c>
      <c r="F204" s="23">
        <v>5500</v>
      </c>
      <c r="G204" s="23">
        <v>0</v>
      </c>
      <c r="H204" s="23">
        <f t="shared" si="14"/>
        <v>5500</v>
      </c>
      <c r="I204" s="23">
        <f t="shared" si="15"/>
        <v>0</v>
      </c>
      <c r="J204" s="23">
        <v>8000</v>
      </c>
      <c r="K204" s="23">
        <v>0</v>
      </c>
      <c r="L204" s="23">
        <v>14000</v>
      </c>
      <c r="M204" s="23">
        <v>0</v>
      </c>
      <c r="N204" s="19">
        <v>150</v>
      </c>
    </row>
    <row r="205" spans="1:14" x14ac:dyDescent="0.3">
      <c r="A205" s="24">
        <f t="shared" si="9"/>
        <v>203</v>
      </c>
      <c r="B205" s="1" t="s">
        <v>347</v>
      </c>
      <c r="C205" s="1" t="s">
        <v>385</v>
      </c>
      <c r="D205" s="23">
        <v>0</v>
      </c>
      <c r="E205" s="23">
        <v>0</v>
      </c>
      <c r="F205" s="23">
        <v>8000</v>
      </c>
      <c r="G205" s="23">
        <v>0</v>
      </c>
      <c r="H205" s="23">
        <f t="shared" si="14"/>
        <v>8000</v>
      </c>
      <c r="I205" s="23">
        <f t="shared" si="15"/>
        <v>0</v>
      </c>
      <c r="J205" s="23">
        <v>9500</v>
      </c>
      <c r="K205" s="23">
        <v>0</v>
      </c>
      <c r="L205" s="23">
        <v>20000</v>
      </c>
      <c r="M205" s="23">
        <v>0</v>
      </c>
      <c r="N205" s="19">
        <v>150</v>
      </c>
    </row>
    <row r="206" spans="1:14" x14ac:dyDescent="0.3">
      <c r="A206" s="24">
        <f t="shared" si="9"/>
        <v>204</v>
      </c>
      <c r="B206" s="1" t="s">
        <v>347</v>
      </c>
      <c r="C206" s="1" t="s">
        <v>386</v>
      </c>
      <c r="D206" s="23">
        <v>0</v>
      </c>
      <c r="E206" s="23">
        <v>0</v>
      </c>
      <c r="F206" s="23">
        <v>1100</v>
      </c>
      <c r="G206" s="23">
        <v>0</v>
      </c>
      <c r="H206" s="23">
        <f t="shared" si="14"/>
        <v>1100</v>
      </c>
      <c r="I206" s="23">
        <f t="shared" si="15"/>
        <v>0</v>
      </c>
      <c r="J206" s="23">
        <v>2000</v>
      </c>
      <c r="K206" s="23">
        <v>0</v>
      </c>
      <c r="L206" s="23">
        <v>3300</v>
      </c>
      <c r="M206" s="23">
        <v>0</v>
      </c>
      <c r="N206" s="19">
        <v>150</v>
      </c>
    </row>
    <row r="207" spans="1:14" x14ac:dyDescent="0.3">
      <c r="A207" s="24">
        <f t="shared" si="9"/>
        <v>205</v>
      </c>
      <c r="B207" s="1" t="s">
        <v>347</v>
      </c>
      <c r="C207" s="1" t="s">
        <v>388</v>
      </c>
      <c r="F207" s="23">
        <v>1100</v>
      </c>
      <c r="G207" s="23">
        <v>100</v>
      </c>
      <c r="H207" s="23">
        <f t="shared" si="14"/>
        <v>1100</v>
      </c>
      <c r="I207" s="23">
        <f t="shared" si="15"/>
        <v>100</v>
      </c>
      <c r="N207" s="19">
        <v>150</v>
      </c>
    </row>
    <row r="208" spans="1:14" x14ac:dyDescent="0.3">
      <c r="A208" s="24">
        <f t="shared" si="9"/>
        <v>206</v>
      </c>
      <c r="B208" s="1" t="s">
        <v>347</v>
      </c>
      <c r="C208" s="1" t="s">
        <v>389</v>
      </c>
      <c r="F208" s="23">
        <v>1500</v>
      </c>
      <c r="G208" s="23">
        <v>100</v>
      </c>
      <c r="H208" s="23">
        <f t="shared" si="14"/>
        <v>1500</v>
      </c>
      <c r="I208" s="23">
        <f t="shared" si="15"/>
        <v>100</v>
      </c>
      <c r="N208" s="19">
        <v>150</v>
      </c>
    </row>
  </sheetData>
  <mergeCells count="10">
    <mergeCell ref="P2:P3"/>
    <mergeCell ref="N2:N3"/>
    <mergeCell ref="A2:A3"/>
    <mergeCell ref="C2:C3"/>
    <mergeCell ref="B2:B3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6F77-7806-4935-B9D1-9137F26C3E1D}">
  <dimension ref="A1:M121"/>
  <sheetViews>
    <sheetView tabSelected="1" workbookViewId="0">
      <selection activeCell="E4" sqref="E4"/>
    </sheetView>
  </sheetViews>
  <sheetFormatPr defaultColWidth="9.109375" defaultRowHeight="14.4" x14ac:dyDescent="0.3"/>
  <cols>
    <col min="1" max="1" width="4" style="19" bestFit="1" customWidth="1"/>
    <col min="2" max="2" width="11.33203125" style="19" bestFit="1" customWidth="1"/>
    <col min="3" max="3" width="40.5546875" style="19" bestFit="1" customWidth="1"/>
    <col min="4" max="5" width="5.44140625" style="19" bestFit="1" customWidth="1"/>
    <col min="6" max="16384" width="9.109375" style="1"/>
  </cols>
  <sheetData>
    <row r="1" spans="1:13" ht="15" thickBot="1" x14ac:dyDescent="0.35">
      <c r="C1" s="19">
        <v>1</v>
      </c>
      <c r="D1" s="19">
        <v>2</v>
      </c>
      <c r="E1" s="19">
        <v>3</v>
      </c>
      <c r="G1" s="1" t="s">
        <v>326</v>
      </c>
      <c r="I1" s="1" t="s">
        <v>204</v>
      </c>
      <c r="J1" s="1" t="s">
        <v>221</v>
      </c>
      <c r="K1" s="1" t="s">
        <v>242</v>
      </c>
      <c r="L1" s="1" t="s">
        <v>279</v>
      </c>
      <c r="M1" s="1" t="s">
        <v>203</v>
      </c>
    </row>
    <row r="2" spans="1:13" ht="15" thickBot="1" x14ac:dyDescent="0.35">
      <c r="A2" s="29" t="s">
        <v>115</v>
      </c>
      <c r="B2" s="29" t="s">
        <v>0</v>
      </c>
      <c r="C2" s="29" t="s">
        <v>202</v>
      </c>
      <c r="D2" s="29" t="s">
        <v>201</v>
      </c>
      <c r="E2" s="29" t="s">
        <v>327</v>
      </c>
      <c r="G2" s="1" t="s">
        <v>221</v>
      </c>
      <c r="I2" s="19" t="s">
        <v>173</v>
      </c>
      <c r="J2" s="19" t="s">
        <v>222</v>
      </c>
      <c r="K2" s="19" t="s">
        <v>113</v>
      </c>
      <c r="L2" s="19" t="s">
        <v>280</v>
      </c>
      <c r="M2" s="19" t="s">
        <v>205</v>
      </c>
    </row>
    <row r="3" spans="1:13" x14ac:dyDescent="0.3">
      <c r="A3" s="21">
        <f>ROW()-2</f>
        <v>1</v>
      </c>
      <c r="B3" s="21" t="s">
        <v>204</v>
      </c>
      <c r="C3" s="21" t="s">
        <v>173</v>
      </c>
      <c r="D3" s="21">
        <v>450</v>
      </c>
      <c r="E3" s="21">
        <v>50</v>
      </c>
      <c r="G3" s="1" t="s">
        <v>279</v>
      </c>
      <c r="I3" s="19" t="s">
        <v>174</v>
      </c>
      <c r="J3" s="19" t="s">
        <v>223</v>
      </c>
      <c r="K3" s="19" t="s">
        <v>243</v>
      </c>
      <c r="L3" s="19" t="s">
        <v>281</v>
      </c>
      <c r="M3" s="19" t="s">
        <v>206</v>
      </c>
    </row>
    <row r="4" spans="1:13" x14ac:dyDescent="0.3">
      <c r="A4" s="30">
        <f t="shared" ref="A4:A30" si="0">ROW()-2</f>
        <v>2</v>
      </c>
      <c r="B4" s="30" t="s">
        <v>204</v>
      </c>
      <c r="C4" s="30" t="s">
        <v>174</v>
      </c>
      <c r="D4" s="30">
        <v>120</v>
      </c>
      <c r="E4" s="30"/>
      <c r="G4" s="1" t="s">
        <v>204</v>
      </c>
      <c r="I4" s="19" t="s">
        <v>175</v>
      </c>
      <c r="J4" s="19" t="s">
        <v>224</v>
      </c>
      <c r="K4" s="19" t="s">
        <v>244</v>
      </c>
      <c r="L4" s="19" t="s">
        <v>289</v>
      </c>
      <c r="M4" s="19" t="s">
        <v>207</v>
      </c>
    </row>
    <row r="5" spans="1:13" x14ac:dyDescent="0.3">
      <c r="A5" s="30">
        <f t="shared" si="0"/>
        <v>3</v>
      </c>
      <c r="B5" s="30" t="s">
        <v>204</v>
      </c>
      <c r="C5" s="30" t="s">
        <v>175</v>
      </c>
      <c r="D5" s="30">
        <v>180</v>
      </c>
      <c r="E5" s="30"/>
      <c r="G5" s="1" t="s">
        <v>203</v>
      </c>
      <c r="I5" s="19" t="s">
        <v>176</v>
      </c>
      <c r="J5" s="19" t="s">
        <v>225</v>
      </c>
      <c r="K5" s="19" t="s">
        <v>245</v>
      </c>
      <c r="L5" s="19" t="s">
        <v>282</v>
      </c>
      <c r="M5" s="19" t="s">
        <v>211</v>
      </c>
    </row>
    <row r="6" spans="1:13" x14ac:dyDescent="0.3">
      <c r="A6" s="30">
        <f t="shared" si="0"/>
        <v>4</v>
      </c>
      <c r="B6" s="30" t="s">
        <v>204</v>
      </c>
      <c r="C6" s="30" t="s">
        <v>176</v>
      </c>
      <c r="D6" s="30">
        <v>180</v>
      </c>
      <c r="E6" s="30"/>
      <c r="G6" s="1" t="s">
        <v>242</v>
      </c>
      <c r="I6" s="19" t="s">
        <v>177</v>
      </c>
      <c r="J6" s="19" t="s">
        <v>226</v>
      </c>
      <c r="K6" s="19" t="s">
        <v>246</v>
      </c>
      <c r="L6" s="19" t="s">
        <v>283</v>
      </c>
      <c r="M6" s="19" t="s">
        <v>208</v>
      </c>
    </row>
    <row r="7" spans="1:13" x14ac:dyDescent="0.3">
      <c r="A7" s="30">
        <f t="shared" si="0"/>
        <v>5</v>
      </c>
      <c r="B7" s="30" t="s">
        <v>204</v>
      </c>
      <c r="C7" s="30" t="s">
        <v>177</v>
      </c>
      <c r="D7" s="30">
        <v>100</v>
      </c>
      <c r="E7" s="30"/>
      <c r="I7" s="19" t="s">
        <v>179</v>
      </c>
      <c r="J7" s="19" t="s">
        <v>227</v>
      </c>
      <c r="K7" s="19" t="s">
        <v>247</v>
      </c>
      <c r="L7" s="19" t="s">
        <v>284</v>
      </c>
      <c r="M7" s="19" t="s">
        <v>209</v>
      </c>
    </row>
    <row r="8" spans="1:13" x14ac:dyDescent="0.3">
      <c r="A8" s="30">
        <f t="shared" si="0"/>
        <v>6</v>
      </c>
      <c r="B8" s="30" t="s">
        <v>204</v>
      </c>
      <c r="C8" s="30" t="s">
        <v>179</v>
      </c>
      <c r="D8" s="30">
        <v>100</v>
      </c>
      <c r="E8" s="30"/>
      <c r="I8" s="19" t="s">
        <v>178</v>
      </c>
      <c r="J8" s="19" t="s">
        <v>228</v>
      </c>
      <c r="K8" s="19" t="s">
        <v>240</v>
      </c>
      <c r="L8" s="19" t="s">
        <v>285</v>
      </c>
      <c r="M8" s="19" t="s">
        <v>210</v>
      </c>
    </row>
    <row r="9" spans="1:13" x14ac:dyDescent="0.3">
      <c r="A9" s="30">
        <f t="shared" si="0"/>
        <v>7</v>
      </c>
      <c r="B9" s="30" t="s">
        <v>204</v>
      </c>
      <c r="C9" s="30" t="s">
        <v>178</v>
      </c>
      <c r="D9" s="30">
        <v>100</v>
      </c>
      <c r="E9" s="30"/>
      <c r="I9" s="19" t="s">
        <v>180</v>
      </c>
      <c r="J9" s="19" t="s">
        <v>229</v>
      </c>
      <c r="K9" s="19" t="s">
        <v>241</v>
      </c>
      <c r="L9" s="19" t="s">
        <v>286</v>
      </c>
      <c r="M9" s="19" t="s">
        <v>214</v>
      </c>
    </row>
    <row r="10" spans="1:13" x14ac:dyDescent="0.3">
      <c r="A10" s="30">
        <f t="shared" si="0"/>
        <v>8</v>
      </c>
      <c r="B10" s="30" t="s">
        <v>204</v>
      </c>
      <c r="C10" s="30" t="s">
        <v>180</v>
      </c>
      <c r="D10" s="30">
        <v>60</v>
      </c>
      <c r="E10" s="30"/>
      <c r="I10" s="19" t="s">
        <v>189</v>
      </c>
      <c r="J10" s="19" t="s">
        <v>230</v>
      </c>
      <c r="K10" s="19" t="s">
        <v>248</v>
      </c>
      <c r="L10" s="19" t="s">
        <v>287</v>
      </c>
      <c r="M10" s="19" t="s">
        <v>215</v>
      </c>
    </row>
    <row r="11" spans="1:13" x14ac:dyDescent="0.3">
      <c r="A11" s="30">
        <f t="shared" si="0"/>
        <v>9</v>
      </c>
      <c r="B11" s="30" t="s">
        <v>204</v>
      </c>
      <c r="C11" s="30" t="s">
        <v>189</v>
      </c>
      <c r="D11" s="30">
        <v>150</v>
      </c>
      <c r="E11" s="30"/>
      <c r="I11" s="19" t="s">
        <v>181</v>
      </c>
      <c r="J11" s="19" t="s">
        <v>231</v>
      </c>
      <c r="K11" s="19" t="s">
        <v>249</v>
      </c>
      <c r="L11" s="19" t="s">
        <v>288</v>
      </c>
      <c r="M11" s="19" t="s">
        <v>212</v>
      </c>
    </row>
    <row r="12" spans="1:13" x14ac:dyDescent="0.3">
      <c r="A12" s="30">
        <f t="shared" si="0"/>
        <v>10</v>
      </c>
      <c r="B12" s="30" t="s">
        <v>204</v>
      </c>
      <c r="C12" s="30" t="s">
        <v>181</v>
      </c>
      <c r="D12" s="30">
        <v>100</v>
      </c>
      <c r="E12" s="30"/>
      <c r="I12" s="19" t="s">
        <v>190</v>
      </c>
      <c r="J12" s="19" t="s">
        <v>232</v>
      </c>
      <c r="K12" s="19" t="s">
        <v>250</v>
      </c>
      <c r="L12" s="19" t="s">
        <v>290</v>
      </c>
      <c r="M12" s="19" t="s">
        <v>213</v>
      </c>
    </row>
    <row r="13" spans="1:13" x14ac:dyDescent="0.3">
      <c r="A13" s="30">
        <f t="shared" si="0"/>
        <v>11</v>
      </c>
      <c r="B13" s="30" t="s">
        <v>204</v>
      </c>
      <c r="C13" s="30" t="s">
        <v>190</v>
      </c>
      <c r="D13" s="30">
        <v>100</v>
      </c>
      <c r="E13" s="30"/>
      <c r="I13" s="19" t="s">
        <v>182</v>
      </c>
      <c r="J13" s="19" t="s">
        <v>239</v>
      </c>
      <c r="K13" s="19" t="s">
        <v>251</v>
      </c>
      <c r="L13" s="19" t="s">
        <v>291</v>
      </c>
      <c r="M13" s="19" t="s">
        <v>216</v>
      </c>
    </row>
    <row r="14" spans="1:13" x14ac:dyDescent="0.3">
      <c r="A14" s="30">
        <f t="shared" si="0"/>
        <v>12</v>
      </c>
      <c r="B14" s="30" t="s">
        <v>204</v>
      </c>
      <c r="C14" s="30" t="s">
        <v>182</v>
      </c>
      <c r="D14" s="30">
        <v>100</v>
      </c>
      <c r="E14" s="30"/>
      <c r="I14" s="19" t="s">
        <v>191</v>
      </c>
      <c r="J14" s="19" t="s">
        <v>233</v>
      </c>
      <c r="K14" s="19" t="s">
        <v>252</v>
      </c>
      <c r="L14" s="19" t="s">
        <v>292</v>
      </c>
      <c r="M14" s="19" t="s">
        <v>217</v>
      </c>
    </row>
    <row r="15" spans="1:13" x14ac:dyDescent="0.3">
      <c r="A15" s="30">
        <f t="shared" si="0"/>
        <v>13</v>
      </c>
      <c r="B15" s="30" t="s">
        <v>204</v>
      </c>
      <c r="C15" s="30" t="s">
        <v>191</v>
      </c>
      <c r="D15" s="30">
        <v>100</v>
      </c>
      <c r="E15" s="30"/>
      <c r="I15" s="19" t="s">
        <v>192</v>
      </c>
      <c r="J15" s="19" t="s">
        <v>234</v>
      </c>
      <c r="K15" s="19" t="s">
        <v>253</v>
      </c>
      <c r="L15" s="19" t="s">
        <v>293</v>
      </c>
      <c r="M15" s="19" t="s">
        <v>218</v>
      </c>
    </row>
    <row r="16" spans="1:13" x14ac:dyDescent="0.3">
      <c r="A16" s="30">
        <f t="shared" si="0"/>
        <v>14</v>
      </c>
      <c r="B16" s="30" t="s">
        <v>204</v>
      </c>
      <c r="C16" s="30" t="s">
        <v>192</v>
      </c>
      <c r="D16" s="30">
        <v>100</v>
      </c>
      <c r="E16" s="30"/>
      <c r="I16" s="19" t="s">
        <v>193</v>
      </c>
      <c r="J16" s="19" t="s">
        <v>235</v>
      </c>
      <c r="K16" s="19" t="s">
        <v>254</v>
      </c>
      <c r="L16" s="19" t="s">
        <v>294</v>
      </c>
      <c r="M16" s="19" t="s">
        <v>219</v>
      </c>
    </row>
    <row r="17" spans="1:13" x14ac:dyDescent="0.3">
      <c r="A17" s="30">
        <f t="shared" si="0"/>
        <v>15</v>
      </c>
      <c r="B17" s="30" t="s">
        <v>204</v>
      </c>
      <c r="C17" s="30" t="s">
        <v>193</v>
      </c>
      <c r="D17" s="30">
        <v>60</v>
      </c>
      <c r="E17" s="30"/>
      <c r="I17" s="19" t="s">
        <v>183</v>
      </c>
      <c r="J17" s="19" t="s">
        <v>236</v>
      </c>
      <c r="K17" s="19" t="s">
        <v>255</v>
      </c>
      <c r="L17" s="19" t="s">
        <v>295</v>
      </c>
      <c r="M17" s="19" t="s">
        <v>220</v>
      </c>
    </row>
    <row r="18" spans="1:13" x14ac:dyDescent="0.3">
      <c r="A18" s="30">
        <f t="shared" si="0"/>
        <v>16</v>
      </c>
      <c r="B18" s="30" t="s">
        <v>204</v>
      </c>
      <c r="C18" s="30" t="s">
        <v>183</v>
      </c>
      <c r="D18" s="30">
        <v>240</v>
      </c>
      <c r="E18" s="30"/>
      <c r="I18" s="19" t="s">
        <v>184</v>
      </c>
      <c r="J18" s="19" t="s">
        <v>237</v>
      </c>
      <c r="K18" s="19" t="s">
        <v>256</v>
      </c>
      <c r="L18" s="19" t="s">
        <v>296</v>
      </c>
    </row>
    <row r="19" spans="1:13" x14ac:dyDescent="0.3">
      <c r="A19" s="30">
        <f t="shared" si="0"/>
        <v>17</v>
      </c>
      <c r="B19" s="30" t="s">
        <v>204</v>
      </c>
      <c r="C19" s="30" t="s">
        <v>184</v>
      </c>
      <c r="D19" s="30">
        <v>100</v>
      </c>
      <c r="E19" s="30"/>
      <c r="I19" s="19" t="s">
        <v>194</v>
      </c>
      <c r="J19" s="19" t="s">
        <v>238</v>
      </c>
      <c r="K19" s="19" t="s">
        <v>257</v>
      </c>
      <c r="L19" s="19" t="s">
        <v>297</v>
      </c>
    </row>
    <row r="20" spans="1:13" x14ac:dyDescent="0.3">
      <c r="A20" s="30">
        <f t="shared" si="0"/>
        <v>18</v>
      </c>
      <c r="B20" s="30" t="s">
        <v>204</v>
      </c>
      <c r="C20" s="30" t="s">
        <v>194</v>
      </c>
      <c r="D20" s="30">
        <v>150</v>
      </c>
      <c r="E20" s="30"/>
      <c r="I20" s="19" t="s">
        <v>195</v>
      </c>
      <c r="K20" s="19" t="s">
        <v>258</v>
      </c>
    </row>
    <row r="21" spans="1:13" x14ac:dyDescent="0.3">
      <c r="A21" s="30">
        <f t="shared" si="0"/>
        <v>19</v>
      </c>
      <c r="B21" s="30" t="s">
        <v>204</v>
      </c>
      <c r="C21" s="30" t="s">
        <v>195</v>
      </c>
      <c r="D21" s="30">
        <v>450</v>
      </c>
      <c r="E21" s="30"/>
      <c r="I21" s="19" t="s">
        <v>196</v>
      </c>
      <c r="K21" s="19" t="s">
        <v>259</v>
      </c>
    </row>
    <row r="22" spans="1:13" x14ac:dyDescent="0.3">
      <c r="A22" s="30">
        <f t="shared" si="0"/>
        <v>20</v>
      </c>
      <c r="B22" s="30" t="s">
        <v>204</v>
      </c>
      <c r="C22" s="30" t="s">
        <v>196</v>
      </c>
      <c r="D22" s="30">
        <v>50</v>
      </c>
      <c r="E22" s="30"/>
      <c r="I22" s="19" t="s">
        <v>197</v>
      </c>
      <c r="K22" s="19" t="s">
        <v>260</v>
      </c>
    </row>
    <row r="23" spans="1:13" x14ac:dyDescent="0.3">
      <c r="A23" s="30">
        <f t="shared" si="0"/>
        <v>21</v>
      </c>
      <c r="B23" s="30" t="s">
        <v>204</v>
      </c>
      <c r="C23" s="30" t="s">
        <v>197</v>
      </c>
      <c r="D23" s="30">
        <v>270</v>
      </c>
      <c r="E23" s="30"/>
      <c r="I23" s="19" t="s">
        <v>198</v>
      </c>
      <c r="K23" s="19" t="s">
        <v>261</v>
      </c>
    </row>
    <row r="24" spans="1:13" x14ac:dyDescent="0.3">
      <c r="A24" s="30">
        <f t="shared" si="0"/>
        <v>22</v>
      </c>
      <c r="B24" s="30" t="s">
        <v>204</v>
      </c>
      <c r="C24" s="30" t="s">
        <v>198</v>
      </c>
      <c r="D24" s="30">
        <v>230</v>
      </c>
      <c r="E24" s="30"/>
      <c r="I24" s="19" t="s">
        <v>187</v>
      </c>
      <c r="K24" s="19" t="s">
        <v>262</v>
      </c>
    </row>
    <row r="25" spans="1:13" x14ac:dyDescent="0.3">
      <c r="A25" s="30">
        <f t="shared" si="0"/>
        <v>23</v>
      </c>
      <c r="B25" s="30" t="s">
        <v>204</v>
      </c>
      <c r="C25" s="30" t="s">
        <v>187</v>
      </c>
      <c r="D25" s="30">
        <f>8*32</f>
        <v>256</v>
      </c>
      <c r="E25" s="30"/>
      <c r="I25" s="19" t="s">
        <v>188</v>
      </c>
      <c r="K25" s="19" t="s">
        <v>263</v>
      </c>
    </row>
    <row r="26" spans="1:13" x14ac:dyDescent="0.3">
      <c r="A26" s="30">
        <f t="shared" si="0"/>
        <v>24</v>
      </c>
      <c r="B26" s="30" t="s">
        <v>204</v>
      </c>
      <c r="C26" s="30" t="s">
        <v>188</v>
      </c>
      <c r="D26" s="30">
        <v>240</v>
      </c>
      <c r="E26" s="30"/>
      <c r="I26" s="19" t="s">
        <v>199</v>
      </c>
      <c r="K26" s="19" t="s">
        <v>264</v>
      </c>
    </row>
    <row r="27" spans="1:13" x14ac:dyDescent="0.3">
      <c r="A27" s="30">
        <f t="shared" si="0"/>
        <v>25</v>
      </c>
      <c r="B27" s="30" t="s">
        <v>204</v>
      </c>
      <c r="C27" s="30" t="s">
        <v>199</v>
      </c>
      <c r="D27" s="30">
        <v>180</v>
      </c>
      <c r="E27" s="30"/>
      <c r="I27" s="19" t="s">
        <v>185</v>
      </c>
      <c r="K27" s="19" t="s">
        <v>265</v>
      </c>
    </row>
    <row r="28" spans="1:13" x14ac:dyDescent="0.3">
      <c r="A28" s="30">
        <f t="shared" si="0"/>
        <v>26</v>
      </c>
      <c r="B28" s="30" t="s">
        <v>204</v>
      </c>
      <c r="C28" s="30" t="s">
        <v>185</v>
      </c>
      <c r="D28" s="30">
        <v>180</v>
      </c>
      <c r="E28" s="30"/>
      <c r="I28" s="19" t="s">
        <v>200</v>
      </c>
      <c r="K28" s="19" t="s">
        <v>266</v>
      </c>
    </row>
    <row r="29" spans="1:13" x14ac:dyDescent="0.3">
      <c r="A29" s="30">
        <f t="shared" si="0"/>
        <v>27</v>
      </c>
      <c r="B29" s="30" t="s">
        <v>204</v>
      </c>
      <c r="C29" s="30" t="s">
        <v>200</v>
      </c>
      <c r="D29" s="30">
        <v>180</v>
      </c>
      <c r="E29" s="30"/>
      <c r="I29" s="19" t="s">
        <v>186</v>
      </c>
      <c r="K29" s="19" t="s">
        <v>267</v>
      </c>
    </row>
    <row r="30" spans="1:13" ht="15" thickBot="1" x14ac:dyDescent="0.35">
      <c r="A30" s="25">
        <f t="shared" si="0"/>
        <v>28</v>
      </c>
      <c r="B30" s="25" t="s">
        <v>204</v>
      </c>
      <c r="C30" s="25" t="s">
        <v>186</v>
      </c>
      <c r="D30" s="25">
        <v>100</v>
      </c>
      <c r="E30" s="25"/>
      <c r="K30" s="19" t="s">
        <v>268</v>
      </c>
    </row>
    <row r="31" spans="1:13" x14ac:dyDescent="0.3">
      <c r="A31" s="21">
        <f>ROW()-2</f>
        <v>29</v>
      </c>
      <c r="B31" s="21" t="s">
        <v>203</v>
      </c>
      <c r="C31" s="21" t="s">
        <v>205</v>
      </c>
      <c r="D31" s="21">
        <v>540</v>
      </c>
      <c r="E31" s="21"/>
      <c r="K31" s="19" t="s">
        <v>269</v>
      </c>
    </row>
    <row r="32" spans="1:13" x14ac:dyDescent="0.3">
      <c r="A32" s="30">
        <f t="shared" ref="A32:A46" si="1">ROW()-2</f>
        <v>30</v>
      </c>
      <c r="B32" s="30" t="s">
        <v>203</v>
      </c>
      <c r="C32" s="30" t="s">
        <v>206</v>
      </c>
      <c r="D32" s="30">
        <v>900</v>
      </c>
      <c r="E32" s="30"/>
      <c r="K32" s="19" t="s">
        <v>270</v>
      </c>
    </row>
    <row r="33" spans="1:11" x14ac:dyDescent="0.3">
      <c r="A33" s="30">
        <f t="shared" si="1"/>
        <v>31</v>
      </c>
      <c r="B33" s="30" t="s">
        <v>203</v>
      </c>
      <c r="C33" s="30" t="s">
        <v>207</v>
      </c>
      <c r="D33" s="30">
        <v>220</v>
      </c>
      <c r="E33" s="30"/>
      <c r="K33" s="19" t="s">
        <v>271</v>
      </c>
    </row>
    <row r="34" spans="1:11" x14ac:dyDescent="0.3">
      <c r="A34" s="30">
        <f t="shared" si="1"/>
        <v>32</v>
      </c>
      <c r="B34" s="30" t="s">
        <v>203</v>
      </c>
      <c r="C34" s="30" t="s">
        <v>211</v>
      </c>
      <c r="D34" s="30">
        <v>220</v>
      </c>
      <c r="E34" s="30"/>
      <c r="K34" s="19" t="s">
        <v>272</v>
      </c>
    </row>
    <row r="35" spans="1:11" x14ac:dyDescent="0.3">
      <c r="A35" s="30">
        <f t="shared" si="1"/>
        <v>33</v>
      </c>
      <c r="B35" s="30" t="s">
        <v>203</v>
      </c>
      <c r="C35" s="30" t="s">
        <v>208</v>
      </c>
      <c r="D35" s="30">
        <v>200</v>
      </c>
      <c r="E35" s="30"/>
      <c r="K35" s="19" t="s">
        <v>273</v>
      </c>
    </row>
    <row r="36" spans="1:11" x14ac:dyDescent="0.3">
      <c r="A36" s="30">
        <f t="shared" si="1"/>
        <v>34</v>
      </c>
      <c r="B36" s="30" t="s">
        <v>203</v>
      </c>
      <c r="C36" s="30" t="s">
        <v>209</v>
      </c>
      <c r="D36" s="30">
        <v>120</v>
      </c>
      <c r="E36" s="30"/>
      <c r="K36" s="19" t="s">
        <v>274</v>
      </c>
    </row>
    <row r="37" spans="1:11" x14ac:dyDescent="0.3">
      <c r="A37" s="30">
        <f t="shared" si="1"/>
        <v>35</v>
      </c>
      <c r="B37" s="30" t="s">
        <v>203</v>
      </c>
      <c r="C37" s="30" t="s">
        <v>210</v>
      </c>
      <c r="D37" s="30">
        <v>700</v>
      </c>
      <c r="E37" s="30"/>
      <c r="K37" s="19" t="s">
        <v>275</v>
      </c>
    </row>
    <row r="38" spans="1:11" x14ac:dyDescent="0.3">
      <c r="A38" s="30">
        <f t="shared" si="1"/>
        <v>36</v>
      </c>
      <c r="B38" s="30" t="s">
        <v>203</v>
      </c>
      <c r="C38" s="30" t="s">
        <v>214</v>
      </c>
      <c r="D38" s="30">
        <v>450</v>
      </c>
      <c r="E38" s="30"/>
      <c r="K38" s="19" t="s">
        <v>276</v>
      </c>
    </row>
    <row r="39" spans="1:11" x14ac:dyDescent="0.3">
      <c r="A39" s="30">
        <f t="shared" si="1"/>
        <v>37</v>
      </c>
      <c r="B39" s="30" t="s">
        <v>203</v>
      </c>
      <c r="C39" s="30" t="s">
        <v>215</v>
      </c>
      <c r="D39" s="30">
        <v>330</v>
      </c>
      <c r="E39" s="30"/>
      <c r="K39" s="19" t="s">
        <v>277</v>
      </c>
    </row>
    <row r="40" spans="1:11" x14ac:dyDescent="0.3">
      <c r="A40" s="30">
        <f t="shared" si="1"/>
        <v>38</v>
      </c>
      <c r="B40" s="30" t="s">
        <v>203</v>
      </c>
      <c r="C40" s="30" t="s">
        <v>212</v>
      </c>
      <c r="D40" s="30">
        <v>240</v>
      </c>
      <c r="E40" s="30"/>
      <c r="K40" s="19" t="s">
        <v>278</v>
      </c>
    </row>
    <row r="41" spans="1:11" x14ac:dyDescent="0.3">
      <c r="A41" s="30">
        <f t="shared" si="1"/>
        <v>39</v>
      </c>
      <c r="B41" s="30" t="s">
        <v>203</v>
      </c>
      <c r="C41" s="30" t="s">
        <v>213</v>
      </c>
      <c r="D41" s="30">
        <v>900</v>
      </c>
      <c r="E41" s="30"/>
    </row>
    <row r="42" spans="1:11" x14ac:dyDescent="0.3">
      <c r="A42" s="30">
        <f t="shared" si="1"/>
        <v>40</v>
      </c>
      <c r="B42" s="30" t="s">
        <v>203</v>
      </c>
      <c r="C42" s="30" t="s">
        <v>216</v>
      </c>
      <c r="D42" s="30">
        <v>220</v>
      </c>
      <c r="E42" s="30"/>
    </row>
    <row r="43" spans="1:11" x14ac:dyDescent="0.3">
      <c r="A43" s="30">
        <f t="shared" si="1"/>
        <v>41</v>
      </c>
      <c r="B43" s="30" t="s">
        <v>203</v>
      </c>
      <c r="C43" s="30" t="s">
        <v>217</v>
      </c>
      <c r="D43" s="30">
        <v>270</v>
      </c>
      <c r="E43" s="30"/>
    </row>
    <row r="44" spans="1:11" x14ac:dyDescent="0.3">
      <c r="A44" s="30">
        <f t="shared" si="1"/>
        <v>42</v>
      </c>
      <c r="B44" s="30" t="s">
        <v>203</v>
      </c>
      <c r="C44" s="30" t="s">
        <v>218</v>
      </c>
      <c r="D44" s="30">
        <v>150</v>
      </c>
      <c r="E44" s="30"/>
    </row>
    <row r="45" spans="1:11" x14ac:dyDescent="0.3">
      <c r="A45" s="30">
        <f t="shared" si="1"/>
        <v>43</v>
      </c>
      <c r="B45" s="30" t="s">
        <v>203</v>
      </c>
      <c r="C45" s="30" t="s">
        <v>219</v>
      </c>
      <c r="D45" s="30">
        <v>150</v>
      </c>
      <c r="E45" s="30"/>
    </row>
    <row r="46" spans="1:11" ht="15" thickBot="1" x14ac:dyDescent="0.35">
      <c r="A46" s="25">
        <f t="shared" si="1"/>
        <v>44</v>
      </c>
      <c r="B46" s="25" t="s">
        <v>203</v>
      </c>
      <c r="C46" s="25" t="s">
        <v>220</v>
      </c>
      <c r="D46" s="25">
        <v>150</v>
      </c>
      <c r="E46" s="25"/>
    </row>
    <row r="47" spans="1:11" x14ac:dyDescent="0.3">
      <c r="A47" s="21">
        <f>ROW()-2</f>
        <v>45</v>
      </c>
      <c r="B47" s="21" t="s">
        <v>221</v>
      </c>
      <c r="C47" s="21" t="s">
        <v>222</v>
      </c>
      <c r="D47" s="21">
        <v>100</v>
      </c>
      <c r="E47" s="21"/>
    </row>
    <row r="48" spans="1:11" x14ac:dyDescent="0.3">
      <c r="A48" s="30">
        <f t="shared" ref="A48:A64" si="2">ROW()-2</f>
        <v>46</v>
      </c>
      <c r="B48" s="30" t="s">
        <v>221</v>
      </c>
      <c r="C48" s="30" t="s">
        <v>223</v>
      </c>
      <c r="D48" s="30">
        <v>100</v>
      </c>
      <c r="E48" s="30"/>
    </row>
    <row r="49" spans="1:5" x14ac:dyDescent="0.3">
      <c r="A49" s="30">
        <f t="shared" si="2"/>
        <v>47</v>
      </c>
      <c r="B49" s="30" t="s">
        <v>221</v>
      </c>
      <c r="C49" s="30" t="s">
        <v>224</v>
      </c>
      <c r="D49" s="30">
        <v>100</v>
      </c>
      <c r="E49" s="30"/>
    </row>
    <row r="50" spans="1:5" x14ac:dyDescent="0.3">
      <c r="A50" s="30">
        <f t="shared" si="2"/>
        <v>48</v>
      </c>
      <c r="B50" s="30" t="s">
        <v>221</v>
      </c>
      <c r="C50" s="30" t="s">
        <v>225</v>
      </c>
      <c r="D50" s="30">
        <v>180</v>
      </c>
      <c r="E50" s="30"/>
    </row>
    <row r="51" spans="1:5" x14ac:dyDescent="0.3">
      <c r="A51" s="30">
        <f t="shared" si="2"/>
        <v>49</v>
      </c>
      <c r="B51" s="30" t="s">
        <v>221</v>
      </c>
      <c r="C51" s="30" t="s">
        <v>226</v>
      </c>
      <c r="D51" s="30">
        <v>100</v>
      </c>
      <c r="E51" s="30"/>
    </row>
    <row r="52" spans="1:5" x14ac:dyDescent="0.3">
      <c r="A52" s="30">
        <f t="shared" si="2"/>
        <v>50</v>
      </c>
      <c r="B52" s="30" t="s">
        <v>221</v>
      </c>
      <c r="C52" s="30" t="s">
        <v>227</v>
      </c>
      <c r="D52" s="30">
        <v>120</v>
      </c>
      <c r="E52" s="30"/>
    </row>
    <row r="53" spans="1:5" x14ac:dyDescent="0.3">
      <c r="A53" s="30">
        <f t="shared" si="2"/>
        <v>51</v>
      </c>
      <c r="B53" s="30" t="s">
        <v>221</v>
      </c>
      <c r="C53" s="30" t="s">
        <v>228</v>
      </c>
      <c r="D53" s="30">
        <v>120</v>
      </c>
      <c r="E53" s="30"/>
    </row>
    <row r="54" spans="1:5" x14ac:dyDescent="0.3">
      <c r="A54" s="30">
        <f t="shared" si="2"/>
        <v>52</v>
      </c>
      <c r="B54" s="30" t="s">
        <v>221</v>
      </c>
      <c r="C54" s="30" t="s">
        <v>229</v>
      </c>
      <c r="D54" s="30">
        <v>180</v>
      </c>
      <c r="E54" s="30"/>
    </row>
    <row r="55" spans="1:5" x14ac:dyDescent="0.3">
      <c r="A55" s="30">
        <f t="shared" si="2"/>
        <v>53</v>
      </c>
      <c r="B55" s="30" t="s">
        <v>221</v>
      </c>
      <c r="C55" s="30" t="s">
        <v>230</v>
      </c>
      <c r="D55" s="30">
        <v>100</v>
      </c>
      <c r="E55" s="30"/>
    </row>
    <row r="56" spans="1:5" x14ac:dyDescent="0.3">
      <c r="A56" s="30">
        <f t="shared" si="2"/>
        <v>54</v>
      </c>
      <c r="B56" s="30" t="s">
        <v>221</v>
      </c>
      <c r="C56" s="30" t="s">
        <v>231</v>
      </c>
      <c r="D56" s="30">
        <v>100</v>
      </c>
      <c r="E56" s="30"/>
    </row>
    <row r="57" spans="1:5" x14ac:dyDescent="0.3">
      <c r="A57" s="30">
        <f t="shared" si="2"/>
        <v>55</v>
      </c>
      <c r="B57" s="30" t="s">
        <v>221</v>
      </c>
      <c r="C57" s="30" t="s">
        <v>232</v>
      </c>
      <c r="D57" s="30">
        <v>150</v>
      </c>
      <c r="E57" s="30"/>
    </row>
    <row r="58" spans="1:5" x14ac:dyDescent="0.3">
      <c r="A58" s="30">
        <f t="shared" si="2"/>
        <v>56</v>
      </c>
      <c r="B58" s="30" t="s">
        <v>221</v>
      </c>
      <c r="C58" s="30" t="s">
        <v>239</v>
      </c>
      <c r="D58" s="30">
        <v>150</v>
      </c>
      <c r="E58" s="30"/>
    </row>
    <row r="59" spans="1:5" x14ac:dyDescent="0.3">
      <c r="A59" s="30">
        <f t="shared" si="2"/>
        <v>57</v>
      </c>
      <c r="B59" s="30" t="s">
        <v>221</v>
      </c>
      <c r="C59" s="30" t="s">
        <v>233</v>
      </c>
      <c r="D59" s="30">
        <v>150</v>
      </c>
      <c r="E59" s="30"/>
    </row>
    <row r="60" spans="1:5" x14ac:dyDescent="0.3">
      <c r="A60" s="30">
        <f t="shared" si="2"/>
        <v>58</v>
      </c>
      <c r="B60" s="30" t="s">
        <v>221</v>
      </c>
      <c r="C60" s="30" t="s">
        <v>234</v>
      </c>
      <c r="D60" s="30">
        <v>150</v>
      </c>
      <c r="E60" s="30"/>
    </row>
    <row r="61" spans="1:5" x14ac:dyDescent="0.3">
      <c r="A61" s="30">
        <f t="shared" si="2"/>
        <v>59</v>
      </c>
      <c r="B61" s="30" t="s">
        <v>221</v>
      </c>
      <c r="C61" s="30" t="s">
        <v>235</v>
      </c>
      <c r="D61" s="30">
        <v>180</v>
      </c>
      <c r="E61" s="30"/>
    </row>
    <row r="62" spans="1:5" x14ac:dyDescent="0.3">
      <c r="A62" s="30">
        <f t="shared" si="2"/>
        <v>60</v>
      </c>
      <c r="B62" s="30" t="s">
        <v>221</v>
      </c>
      <c r="C62" s="30" t="s">
        <v>236</v>
      </c>
      <c r="D62" s="30">
        <v>180</v>
      </c>
      <c r="E62" s="30"/>
    </row>
    <row r="63" spans="1:5" x14ac:dyDescent="0.3">
      <c r="A63" s="30">
        <f t="shared" si="2"/>
        <v>61</v>
      </c>
      <c r="B63" s="30" t="s">
        <v>221</v>
      </c>
      <c r="C63" s="30" t="s">
        <v>237</v>
      </c>
      <c r="D63" s="30">
        <v>180</v>
      </c>
      <c r="E63" s="30"/>
    </row>
    <row r="64" spans="1:5" ht="15" thickBot="1" x14ac:dyDescent="0.35">
      <c r="A64" s="25">
        <f t="shared" si="2"/>
        <v>62</v>
      </c>
      <c r="B64" s="25" t="s">
        <v>221</v>
      </c>
      <c r="C64" s="25" t="s">
        <v>238</v>
      </c>
      <c r="D64" s="25">
        <v>300</v>
      </c>
      <c r="E64" s="25"/>
    </row>
    <row r="65" spans="1:5" x14ac:dyDescent="0.3">
      <c r="A65" s="21">
        <f>ROW()-2</f>
        <v>63</v>
      </c>
      <c r="B65" s="21" t="s">
        <v>242</v>
      </c>
      <c r="C65" s="21" t="s">
        <v>113</v>
      </c>
      <c r="D65" s="21">
        <v>100</v>
      </c>
      <c r="E65" s="21"/>
    </row>
    <row r="66" spans="1:5" x14ac:dyDescent="0.3">
      <c r="A66" s="30">
        <f t="shared" ref="A66:A103" si="3">ROW()-2</f>
        <v>64</v>
      </c>
      <c r="B66" s="30" t="s">
        <v>242</v>
      </c>
      <c r="C66" s="30" t="s">
        <v>243</v>
      </c>
      <c r="D66" s="30">
        <v>100</v>
      </c>
      <c r="E66" s="30"/>
    </row>
    <row r="67" spans="1:5" x14ac:dyDescent="0.3">
      <c r="A67" s="30">
        <f t="shared" si="3"/>
        <v>65</v>
      </c>
      <c r="B67" s="30" t="s">
        <v>242</v>
      </c>
      <c r="C67" s="30" t="s">
        <v>244</v>
      </c>
      <c r="D67" s="30">
        <v>450</v>
      </c>
      <c r="E67" s="30"/>
    </row>
    <row r="68" spans="1:5" x14ac:dyDescent="0.3">
      <c r="A68" s="30">
        <f t="shared" si="3"/>
        <v>66</v>
      </c>
      <c r="B68" s="30" t="s">
        <v>242</v>
      </c>
      <c r="C68" s="30" t="s">
        <v>245</v>
      </c>
      <c r="D68" s="30">
        <v>120</v>
      </c>
      <c r="E68" s="30"/>
    </row>
    <row r="69" spans="1:5" x14ac:dyDescent="0.3">
      <c r="A69" s="30">
        <f t="shared" si="3"/>
        <v>67</v>
      </c>
      <c r="B69" s="30" t="s">
        <v>242</v>
      </c>
      <c r="C69" s="30" t="s">
        <v>246</v>
      </c>
      <c r="D69" s="30">
        <v>400</v>
      </c>
      <c r="E69" s="30"/>
    </row>
    <row r="70" spans="1:5" x14ac:dyDescent="0.3">
      <c r="A70" s="30">
        <f t="shared" si="3"/>
        <v>68</v>
      </c>
      <c r="B70" s="30" t="s">
        <v>242</v>
      </c>
      <c r="C70" s="30" t="s">
        <v>247</v>
      </c>
      <c r="D70" s="30">
        <v>600</v>
      </c>
      <c r="E70" s="30"/>
    </row>
    <row r="71" spans="1:5" x14ac:dyDescent="0.3">
      <c r="A71" s="30">
        <f t="shared" si="3"/>
        <v>69</v>
      </c>
      <c r="B71" s="30" t="s">
        <v>242</v>
      </c>
      <c r="C71" s="30" t="s">
        <v>240</v>
      </c>
      <c r="D71" s="30">
        <v>1800</v>
      </c>
      <c r="E71" s="30"/>
    </row>
    <row r="72" spans="1:5" x14ac:dyDescent="0.3">
      <c r="A72" s="30">
        <f t="shared" si="3"/>
        <v>70</v>
      </c>
      <c r="B72" s="30" t="s">
        <v>242</v>
      </c>
      <c r="C72" s="30" t="s">
        <v>241</v>
      </c>
      <c r="D72" s="30">
        <v>150</v>
      </c>
      <c r="E72" s="30"/>
    </row>
    <row r="73" spans="1:5" x14ac:dyDescent="0.3">
      <c r="A73" s="30">
        <f t="shared" si="3"/>
        <v>71</v>
      </c>
      <c r="B73" s="30" t="s">
        <v>242</v>
      </c>
      <c r="C73" s="30" t="s">
        <v>248</v>
      </c>
      <c r="D73" s="30">
        <v>360</v>
      </c>
      <c r="E73" s="30"/>
    </row>
    <row r="74" spans="1:5" x14ac:dyDescent="0.3">
      <c r="A74" s="30">
        <f t="shared" si="3"/>
        <v>72</v>
      </c>
      <c r="B74" s="30" t="s">
        <v>242</v>
      </c>
      <c r="C74" s="30" t="s">
        <v>249</v>
      </c>
      <c r="D74" s="30">
        <v>200</v>
      </c>
      <c r="E74" s="30"/>
    </row>
    <row r="75" spans="1:5" x14ac:dyDescent="0.3">
      <c r="A75" s="30">
        <f t="shared" si="3"/>
        <v>73</v>
      </c>
      <c r="B75" s="30" t="s">
        <v>242</v>
      </c>
      <c r="C75" s="30" t="s">
        <v>250</v>
      </c>
      <c r="D75" s="30">
        <v>100</v>
      </c>
      <c r="E75" s="30"/>
    </row>
    <row r="76" spans="1:5" x14ac:dyDescent="0.3">
      <c r="A76" s="30">
        <f t="shared" si="3"/>
        <v>74</v>
      </c>
      <c r="B76" s="30" t="s">
        <v>242</v>
      </c>
      <c r="C76" s="30" t="s">
        <v>251</v>
      </c>
      <c r="D76" s="30">
        <v>150</v>
      </c>
      <c r="E76" s="30"/>
    </row>
    <row r="77" spans="1:5" x14ac:dyDescent="0.3">
      <c r="A77" s="30">
        <f t="shared" si="3"/>
        <v>75</v>
      </c>
      <c r="B77" s="30" t="s">
        <v>242</v>
      </c>
      <c r="C77" s="30" t="s">
        <v>252</v>
      </c>
      <c r="D77" s="30">
        <v>180</v>
      </c>
      <c r="E77" s="30"/>
    </row>
    <row r="78" spans="1:5" x14ac:dyDescent="0.3">
      <c r="A78" s="30">
        <f t="shared" si="3"/>
        <v>76</v>
      </c>
      <c r="B78" s="30" t="s">
        <v>242</v>
      </c>
      <c r="C78" s="30" t="s">
        <v>253</v>
      </c>
      <c r="D78" s="30">
        <v>100</v>
      </c>
      <c r="E78" s="30"/>
    </row>
    <row r="79" spans="1:5" x14ac:dyDescent="0.3">
      <c r="A79" s="30">
        <f t="shared" si="3"/>
        <v>77</v>
      </c>
      <c r="B79" s="30" t="s">
        <v>242</v>
      </c>
      <c r="C79" s="30" t="s">
        <v>254</v>
      </c>
      <c r="D79" s="30">
        <v>200</v>
      </c>
      <c r="E79" s="30"/>
    </row>
    <row r="80" spans="1:5" x14ac:dyDescent="0.3">
      <c r="A80" s="30">
        <f t="shared" si="3"/>
        <v>78</v>
      </c>
      <c r="B80" s="30" t="s">
        <v>242</v>
      </c>
      <c r="C80" s="30" t="s">
        <v>255</v>
      </c>
      <c r="D80" s="30">
        <v>150</v>
      </c>
      <c r="E80" s="30"/>
    </row>
    <row r="81" spans="1:5" x14ac:dyDescent="0.3">
      <c r="A81" s="30">
        <f t="shared" si="3"/>
        <v>79</v>
      </c>
      <c r="B81" s="30" t="s">
        <v>242</v>
      </c>
      <c r="C81" s="30" t="s">
        <v>256</v>
      </c>
      <c r="D81" s="30">
        <v>150</v>
      </c>
      <c r="E81" s="30"/>
    </row>
    <row r="82" spans="1:5" x14ac:dyDescent="0.3">
      <c r="A82" s="30">
        <f t="shared" si="3"/>
        <v>80</v>
      </c>
      <c r="B82" s="30" t="s">
        <v>242</v>
      </c>
      <c r="C82" s="30" t="s">
        <v>257</v>
      </c>
      <c r="D82" s="30">
        <v>100</v>
      </c>
      <c r="E82" s="30"/>
    </row>
    <row r="83" spans="1:5" x14ac:dyDescent="0.3">
      <c r="A83" s="30">
        <f t="shared" si="3"/>
        <v>81</v>
      </c>
      <c r="B83" s="30" t="s">
        <v>242</v>
      </c>
      <c r="C83" s="30" t="s">
        <v>258</v>
      </c>
      <c r="D83" s="30">
        <v>150</v>
      </c>
      <c r="E83" s="30"/>
    </row>
    <row r="84" spans="1:5" x14ac:dyDescent="0.3">
      <c r="A84" s="30">
        <f t="shared" si="3"/>
        <v>82</v>
      </c>
      <c r="B84" s="30" t="s">
        <v>242</v>
      </c>
      <c r="C84" s="30" t="s">
        <v>259</v>
      </c>
      <c r="D84" s="30">
        <v>150</v>
      </c>
      <c r="E84" s="30"/>
    </row>
    <row r="85" spans="1:5" x14ac:dyDescent="0.3">
      <c r="A85" s="30">
        <f t="shared" si="3"/>
        <v>83</v>
      </c>
      <c r="B85" s="30" t="s">
        <v>242</v>
      </c>
      <c r="C85" s="30" t="s">
        <v>260</v>
      </c>
      <c r="D85" s="30">
        <v>500</v>
      </c>
      <c r="E85" s="30"/>
    </row>
    <row r="86" spans="1:5" x14ac:dyDescent="0.3">
      <c r="A86" s="30">
        <f t="shared" si="3"/>
        <v>84</v>
      </c>
      <c r="B86" s="30" t="s">
        <v>242</v>
      </c>
      <c r="C86" s="30" t="s">
        <v>261</v>
      </c>
      <c r="D86" s="30">
        <v>180</v>
      </c>
      <c r="E86" s="30"/>
    </row>
    <row r="87" spans="1:5" x14ac:dyDescent="0.3">
      <c r="A87" s="30">
        <f t="shared" si="3"/>
        <v>85</v>
      </c>
      <c r="B87" s="30" t="s">
        <v>242</v>
      </c>
      <c r="C87" s="30" t="s">
        <v>262</v>
      </c>
      <c r="D87" s="30">
        <v>200</v>
      </c>
      <c r="E87" s="30"/>
    </row>
    <row r="88" spans="1:5" x14ac:dyDescent="0.3">
      <c r="A88" s="30">
        <f t="shared" si="3"/>
        <v>86</v>
      </c>
      <c r="B88" s="30" t="s">
        <v>242</v>
      </c>
      <c r="C88" s="30" t="s">
        <v>263</v>
      </c>
      <c r="D88" s="30">
        <v>180</v>
      </c>
      <c r="E88" s="30"/>
    </row>
    <row r="89" spans="1:5" x14ac:dyDescent="0.3">
      <c r="A89" s="30">
        <f t="shared" si="3"/>
        <v>87</v>
      </c>
      <c r="B89" s="30" t="s">
        <v>242</v>
      </c>
      <c r="C89" s="30" t="s">
        <v>264</v>
      </c>
      <c r="D89" s="30">
        <v>2000</v>
      </c>
      <c r="E89" s="30"/>
    </row>
    <row r="90" spans="1:5" x14ac:dyDescent="0.3">
      <c r="A90" s="30">
        <f t="shared" si="3"/>
        <v>88</v>
      </c>
      <c r="B90" s="30" t="s">
        <v>242</v>
      </c>
      <c r="C90" s="30" t="s">
        <v>265</v>
      </c>
      <c r="D90" s="30">
        <v>100</v>
      </c>
      <c r="E90" s="30"/>
    </row>
    <row r="91" spans="1:5" x14ac:dyDescent="0.3">
      <c r="A91" s="30">
        <f t="shared" si="3"/>
        <v>89</v>
      </c>
      <c r="B91" s="30" t="s">
        <v>242</v>
      </c>
      <c r="C91" s="30" t="s">
        <v>266</v>
      </c>
      <c r="D91" s="30">
        <v>100</v>
      </c>
      <c r="E91" s="30"/>
    </row>
    <row r="92" spans="1:5" x14ac:dyDescent="0.3">
      <c r="A92" s="30">
        <f t="shared" si="3"/>
        <v>90</v>
      </c>
      <c r="B92" s="30" t="s">
        <v>242</v>
      </c>
      <c r="C92" s="30" t="s">
        <v>267</v>
      </c>
      <c r="D92" s="30">
        <v>100</v>
      </c>
      <c r="E92" s="30"/>
    </row>
    <row r="93" spans="1:5" x14ac:dyDescent="0.3">
      <c r="A93" s="30">
        <f t="shared" si="3"/>
        <v>91</v>
      </c>
      <c r="B93" s="30" t="s">
        <v>242</v>
      </c>
      <c r="C93" s="30" t="s">
        <v>268</v>
      </c>
      <c r="D93" s="30">
        <v>100</v>
      </c>
      <c r="E93" s="30"/>
    </row>
    <row r="94" spans="1:5" x14ac:dyDescent="0.3">
      <c r="A94" s="30">
        <f t="shared" si="3"/>
        <v>92</v>
      </c>
      <c r="B94" s="30" t="s">
        <v>242</v>
      </c>
      <c r="C94" s="30" t="s">
        <v>269</v>
      </c>
      <c r="D94" s="30">
        <v>100</v>
      </c>
      <c r="E94" s="30"/>
    </row>
    <row r="95" spans="1:5" x14ac:dyDescent="0.3">
      <c r="A95" s="30">
        <f t="shared" si="3"/>
        <v>93</v>
      </c>
      <c r="B95" s="30" t="s">
        <v>242</v>
      </c>
      <c r="C95" s="30" t="s">
        <v>270</v>
      </c>
      <c r="D95" s="30">
        <v>100</v>
      </c>
      <c r="E95" s="30"/>
    </row>
    <row r="96" spans="1:5" x14ac:dyDescent="0.3">
      <c r="A96" s="30">
        <f t="shared" si="3"/>
        <v>94</v>
      </c>
      <c r="B96" s="30" t="s">
        <v>242</v>
      </c>
      <c r="C96" s="30" t="s">
        <v>271</v>
      </c>
      <c r="D96" s="30">
        <v>100</v>
      </c>
      <c r="E96" s="30"/>
    </row>
    <row r="97" spans="1:5" x14ac:dyDescent="0.3">
      <c r="A97" s="30">
        <f t="shared" si="3"/>
        <v>95</v>
      </c>
      <c r="B97" s="30" t="s">
        <v>242</v>
      </c>
      <c r="C97" s="30" t="s">
        <v>272</v>
      </c>
      <c r="D97" s="30">
        <v>200</v>
      </c>
      <c r="E97" s="30"/>
    </row>
    <row r="98" spans="1:5" x14ac:dyDescent="0.3">
      <c r="A98" s="30">
        <f t="shared" si="3"/>
        <v>96</v>
      </c>
      <c r="B98" s="30" t="s">
        <v>242</v>
      </c>
      <c r="C98" s="30" t="s">
        <v>273</v>
      </c>
      <c r="D98" s="30">
        <v>300</v>
      </c>
      <c r="E98" s="30"/>
    </row>
    <row r="99" spans="1:5" x14ac:dyDescent="0.3">
      <c r="A99" s="30">
        <f t="shared" si="3"/>
        <v>97</v>
      </c>
      <c r="B99" s="30" t="s">
        <v>242</v>
      </c>
      <c r="C99" s="30" t="s">
        <v>274</v>
      </c>
      <c r="D99" s="30">
        <v>50</v>
      </c>
      <c r="E99" s="30"/>
    </row>
    <row r="100" spans="1:5" x14ac:dyDescent="0.3">
      <c r="A100" s="30">
        <f t="shared" si="3"/>
        <v>98</v>
      </c>
      <c r="B100" s="30" t="s">
        <v>242</v>
      </c>
      <c r="C100" s="30" t="s">
        <v>275</v>
      </c>
      <c r="D100" s="30">
        <v>200</v>
      </c>
      <c r="E100" s="30"/>
    </row>
    <row r="101" spans="1:5" x14ac:dyDescent="0.3">
      <c r="A101" s="30">
        <f t="shared" si="3"/>
        <v>99</v>
      </c>
      <c r="B101" s="30" t="s">
        <v>242</v>
      </c>
      <c r="C101" s="30" t="s">
        <v>276</v>
      </c>
      <c r="D101" s="30">
        <v>100</v>
      </c>
      <c r="E101" s="30"/>
    </row>
    <row r="102" spans="1:5" x14ac:dyDescent="0.3">
      <c r="A102" s="30">
        <f t="shared" si="3"/>
        <v>100</v>
      </c>
      <c r="B102" s="30" t="s">
        <v>242</v>
      </c>
      <c r="C102" s="30" t="s">
        <v>277</v>
      </c>
      <c r="D102" s="30">
        <v>100</v>
      </c>
      <c r="E102" s="30"/>
    </row>
    <row r="103" spans="1:5" ht="15" thickBot="1" x14ac:dyDescent="0.35">
      <c r="A103" s="25">
        <f t="shared" si="3"/>
        <v>101</v>
      </c>
      <c r="B103" s="25" t="s">
        <v>242</v>
      </c>
      <c r="C103" s="25" t="s">
        <v>278</v>
      </c>
      <c r="D103" s="25">
        <v>240</v>
      </c>
      <c r="E103" s="25"/>
    </row>
    <row r="104" spans="1:5" x14ac:dyDescent="0.3">
      <c r="A104" s="21">
        <f>ROW()-1</f>
        <v>103</v>
      </c>
      <c r="B104" s="21" t="s">
        <v>279</v>
      </c>
      <c r="C104" s="21" t="s">
        <v>280</v>
      </c>
      <c r="D104" s="21">
        <v>100</v>
      </c>
      <c r="E104" s="21"/>
    </row>
    <row r="105" spans="1:5" x14ac:dyDescent="0.3">
      <c r="A105" s="30">
        <f t="shared" ref="A105:A121" si="4">ROW()-1</f>
        <v>104</v>
      </c>
      <c r="B105" s="30" t="s">
        <v>279</v>
      </c>
      <c r="C105" s="30" t="s">
        <v>281</v>
      </c>
      <c r="D105" s="30">
        <v>600</v>
      </c>
      <c r="E105" s="30"/>
    </row>
    <row r="106" spans="1:5" x14ac:dyDescent="0.3">
      <c r="A106" s="30">
        <f t="shared" si="4"/>
        <v>105</v>
      </c>
      <c r="B106" s="30" t="s">
        <v>279</v>
      </c>
      <c r="C106" s="30" t="s">
        <v>289</v>
      </c>
      <c r="D106" s="30">
        <v>900</v>
      </c>
      <c r="E106" s="30"/>
    </row>
    <row r="107" spans="1:5" x14ac:dyDescent="0.3">
      <c r="A107" s="30">
        <f t="shared" si="4"/>
        <v>106</v>
      </c>
      <c r="B107" s="30" t="s">
        <v>279</v>
      </c>
      <c r="C107" s="30" t="s">
        <v>282</v>
      </c>
      <c r="D107" s="30">
        <v>450</v>
      </c>
      <c r="E107" s="30"/>
    </row>
    <row r="108" spans="1:5" x14ac:dyDescent="0.3">
      <c r="A108" s="30">
        <f t="shared" si="4"/>
        <v>107</v>
      </c>
      <c r="B108" s="30" t="s">
        <v>279</v>
      </c>
      <c r="C108" s="30" t="s">
        <v>283</v>
      </c>
      <c r="D108" s="30">
        <v>200</v>
      </c>
      <c r="E108" s="30"/>
    </row>
    <row r="109" spans="1:5" x14ac:dyDescent="0.3">
      <c r="A109" s="30">
        <f t="shared" si="4"/>
        <v>108</v>
      </c>
      <c r="B109" s="30" t="s">
        <v>279</v>
      </c>
      <c r="C109" s="30" t="s">
        <v>284</v>
      </c>
      <c r="D109" s="30">
        <v>450</v>
      </c>
      <c r="E109" s="30"/>
    </row>
    <row r="110" spans="1:5" x14ac:dyDescent="0.3">
      <c r="A110" s="30">
        <f t="shared" si="4"/>
        <v>109</v>
      </c>
      <c r="B110" s="30" t="s">
        <v>279</v>
      </c>
      <c r="C110" s="30" t="s">
        <v>285</v>
      </c>
      <c r="D110" s="30">
        <v>360</v>
      </c>
      <c r="E110" s="30"/>
    </row>
    <row r="111" spans="1:5" x14ac:dyDescent="0.3">
      <c r="A111" s="30">
        <f t="shared" si="4"/>
        <v>110</v>
      </c>
      <c r="B111" s="30" t="s">
        <v>279</v>
      </c>
      <c r="C111" s="30" t="s">
        <v>286</v>
      </c>
      <c r="D111" s="30">
        <v>150</v>
      </c>
      <c r="E111" s="30"/>
    </row>
    <row r="112" spans="1:5" x14ac:dyDescent="0.3">
      <c r="A112" s="30">
        <f t="shared" si="4"/>
        <v>111</v>
      </c>
      <c r="B112" s="30" t="s">
        <v>279</v>
      </c>
      <c r="C112" s="30" t="s">
        <v>287</v>
      </c>
      <c r="D112" s="30">
        <v>200</v>
      </c>
      <c r="E112" s="30"/>
    </row>
    <row r="113" spans="1:5" x14ac:dyDescent="0.3">
      <c r="A113" s="30">
        <f t="shared" si="4"/>
        <v>112</v>
      </c>
      <c r="B113" s="30" t="s">
        <v>279</v>
      </c>
      <c r="C113" s="30" t="s">
        <v>288</v>
      </c>
      <c r="D113" s="30">
        <v>200</v>
      </c>
      <c r="E113" s="30"/>
    </row>
    <row r="114" spans="1:5" x14ac:dyDescent="0.3">
      <c r="A114" s="30">
        <f t="shared" si="4"/>
        <v>113</v>
      </c>
      <c r="B114" s="30" t="s">
        <v>279</v>
      </c>
      <c r="C114" s="30" t="s">
        <v>290</v>
      </c>
      <c r="D114" s="30">
        <v>150</v>
      </c>
      <c r="E114" s="30"/>
    </row>
    <row r="115" spans="1:5" x14ac:dyDescent="0.3">
      <c r="A115" s="30">
        <f t="shared" si="4"/>
        <v>114</v>
      </c>
      <c r="B115" s="30" t="s">
        <v>279</v>
      </c>
      <c r="C115" s="30" t="s">
        <v>291</v>
      </c>
      <c r="D115" s="30">
        <v>150</v>
      </c>
      <c r="E115" s="30"/>
    </row>
    <row r="116" spans="1:5" x14ac:dyDescent="0.3">
      <c r="A116" s="30">
        <f t="shared" si="4"/>
        <v>115</v>
      </c>
      <c r="B116" s="30" t="s">
        <v>279</v>
      </c>
      <c r="C116" s="30" t="s">
        <v>292</v>
      </c>
      <c r="D116" s="30">
        <v>150</v>
      </c>
      <c r="E116" s="30"/>
    </row>
    <row r="117" spans="1:5" x14ac:dyDescent="0.3">
      <c r="A117" s="30">
        <f t="shared" si="4"/>
        <v>116</v>
      </c>
      <c r="B117" s="30" t="s">
        <v>279</v>
      </c>
      <c r="C117" s="30" t="s">
        <v>293</v>
      </c>
      <c r="D117" s="30">
        <v>150</v>
      </c>
      <c r="E117" s="30"/>
    </row>
    <row r="118" spans="1:5" x14ac:dyDescent="0.3">
      <c r="A118" s="30">
        <f t="shared" si="4"/>
        <v>117</v>
      </c>
      <c r="B118" s="30" t="s">
        <v>279</v>
      </c>
      <c r="C118" s="30" t="s">
        <v>294</v>
      </c>
      <c r="D118" s="30">
        <v>100</v>
      </c>
      <c r="E118" s="30"/>
    </row>
    <row r="119" spans="1:5" x14ac:dyDescent="0.3">
      <c r="A119" s="30">
        <f t="shared" si="4"/>
        <v>118</v>
      </c>
      <c r="B119" s="30" t="s">
        <v>279</v>
      </c>
      <c r="C119" s="30" t="s">
        <v>295</v>
      </c>
      <c r="D119" s="30">
        <v>100</v>
      </c>
      <c r="E119" s="30"/>
    </row>
    <row r="120" spans="1:5" x14ac:dyDescent="0.3">
      <c r="A120" s="30">
        <f t="shared" si="4"/>
        <v>119</v>
      </c>
      <c r="B120" s="30" t="s">
        <v>279</v>
      </c>
      <c r="C120" s="30" t="s">
        <v>296</v>
      </c>
      <c r="D120" s="30">
        <v>150</v>
      </c>
      <c r="E120" s="30"/>
    </row>
    <row r="121" spans="1:5" ht="15" thickBot="1" x14ac:dyDescent="0.35">
      <c r="A121" s="25">
        <f t="shared" si="4"/>
        <v>120</v>
      </c>
      <c r="B121" s="25" t="s">
        <v>279</v>
      </c>
      <c r="C121" s="25" t="s">
        <v>297</v>
      </c>
      <c r="D121" s="25">
        <v>300</v>
      </c>
      <c r="E121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2C7D-FACB-44A6-878C-4FA399BE65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Calculation Sheet</vt:lpstr>
      <vt:lpstr>AccommodationLists</vt:lpstr>
      <vt:lpstr>TransportationLists</vt:lpstr>
      <vt:lpstr>SightseeingLists</vt:lpstr>
      <vt:lpstr>Alexandria</vt:lpstr>
      <vt:lpstr>ASW</vt:lpstr>
      <vt:lpstr>Aswan</vt:lpstr>
      <vt:lpstr>CAI</vt:lpstr>
      <vt:lpstr>Cairo</vt:lpstr>
      <vt:lpstr>Giza</vt:lpstr>
      <vt:lpstr>HRG</vt:lpstr>
      <vt:lpstr>Luxor</vt:lpstr>
      <vt:lpstr>LXR</vt:lpstr>
      <vt:lpstr>Names_SSH</vt:lpstr>
      <vt:lpstr>RMF</vt:lpstr>
      <vt:lpstr>SSH</vt:lpstr>
      <vt:lpstr>TRSF_Price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Gouda</dc:creator>
  <cp:lastModifiedBy>Mohamed Gouda</cp:lastModifiedBy>
  <dcterms:created xsi:type="dcterms:W3CDTF">2023-11-07T11:41:51Z</dcterms:created>
  <dcterms:modified xsi:type="dcterms:W3CDTF">2026-05-07T20:11:47Z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2023-11-07T12:03:53Z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e42f1e60-58fa-4e34-b31e-00430b3b3dac</vt:lpwstr>
  </property>
  <property fmtid="{D5CDD505-2E9C-101B-9397-08002B2CF9AE}" pid="7" name="MSIP_Label_defa4170-0d19-0005-0004-bc88714345d2_ActionId">
    <vt:lpwstr>b9b03c21-bda3-4b37-923a-0b78a5ea69e6</vt:lpwstr>
  </property>
  <property fmtid="{D5CDD505-2E9C-101B-9397-08002B2CF9AE}" pid="8" name="MSIP_Label_defa4170-0d19-0005-0004-bc88714345d2_ContentBits">
    <vt:lpwstr>0</vt:lpwstr>
  </property>
</Properties>
</file>